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锰-SbV\"/>
    </mc:Choice>
  </mc:AlternateContent>
  <xr:revisionPtr revIDLastSave="0" documentId="13_ncr:1_{24759518-8D50-470E-B6EE-27AECFB01AC1}" xr6:coauthVersionLast="47" xr6:coauthVersionMax="47" xr10:uidLastSave="{00000000-0000-0000-0000-000000000000}"/>
  <bookViews>
    <workbookView xWindow="90" yWindow="380" windowWidth="19110" windowHeight="10420" xr2:uid="{00000000-000D-0000-FFFF-FFFF00000000}"/>
  </bookViews>
  <sheets>
    <sheet name="AFS数据" sheetId="1" r:id="rId1"/>
    <sheet name="稀释记录" sheetId="2" r:id="rId2"/>
  </sheets>
  <calcPr calcId="191029"/>
</workbook>
</file>

<file path=xl/calcChain.xml><?xml version="1.0" encoding="utf-8"?>
<calcChain xmlns="http://schemas.openxmlformats.org/spreadsheetml/2006/main">
  <c r="I138" i="1" l="1"/>
  <c r="I139" i="1"/>
  <c r="I140" i="1"/>
  <c r="I141" i="1"/>
  <c r="I142" i="1"/>
  <c r="I143" i="1"/>
  <c r="I144" i="1"/>
  <c r="I137" i="1"/>
  <c r="H138" i="1"/>
  <c r="H139" i="1"/>
  <c r="H140" i="1"/>
  <c r="H141" i="1"/>
  <c r="H142" i="1"/>
  <c r="H143" i="1"/>
  <c r="H144" i="1"/>
  <c r="H137" i="1"/>
  <c r="G138" i="1"/>
  <c r="G139" i="1"/>
  <c r="G140" i="1"/>
  <c r="G141" i="1"/>
  <c r="G142" i="1"/>
  <c r="G143" i="1"/>
  <c r="G144" i="1"/>
  <c r="G137" i="1"/>
  <c r="F137" i="1"/>
  <c r="F138" i="1"/>
  <c r="F139" i="1"/>
  <c r="F140" i="1"/>
  <c r="F141" i="1"/>
  <c r="F142" i="1"/>
  <c r="F143" i="1"/>
  <c r="F144" i="1"/>
  <c r="D145" i="1"/>
  <c r="E145" i="1" s="1"/>
  <c r="D138" i="1"/>
  <c r="D139" i="1"/>
  <c r="D140" i="1"/>
  <c r="D141" i="1"/>
  <c r="D142" i="1"/>
  <c r="D143" i="1"/>
  <c r="D144" i="1"/>
  <c r="D13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87" i="1"/>
  <c r="U6" i="1"/>
  <c r="U5" i="1"/>
  <c r="U4" i="1"/>
  <c r="D136" i="1"/>
  <c r="D86" i="1"/>
  <c r="M6" i="1"/>
  <c r="M5" i="1"/>
  <c r="D69" i="1" s="1"/>
  <c r="M4" i="1"/>
  <c r="F145" i="1" l="1"/>
  <c r="D84" i="1"/>
  <c r="F84" i="1" s="1"/>
  <c r="G84" i="1" s="1"/>
  <c r="H84" i="1" s="1"/>
  <c r="I84" i="1" s="1"/>
  <c r="D76" i="1"/>
  <c r="D83" i="1"/>
  <c r="E83" i="1" s="1"/>
  <c r="D75" i="1"/>
  <c r="D82" i="1"/>
  <c r="F82" i="1" s="1"/>
  <c r="G82" i="1" s="1"/>
  <c r="H82" i="1" s="1"/>
  <c r="I82" i="1" s="1"/>
  <c r="D74" i="1"/>
  <c r="F74" i="1" s="1"/>
  <c r="G74" i="1" s="1"/>
  <c r="H74" i="1" s="1"/>
  <c r="I74" i="1" s="1"/>
  <c r="D73" i="1"/>
  <c r="D78" i="1"/>
  <c r="F78" i="1" s="1"/>
  <c r="G78" i="1" s="1"/>
  <c r="H78" i="1" s="1"/>
  <c r="I78" i="1" s="1"/>
  <c r="D85" i="1"/>
  <c r="F85" i="1" s="1"/>
  <c r="G85" i="1" s="1"/>
  <c r="H85" i="1" s="1"/>
  <c r="I85" i="1" s="1"/>
  <c r="D81" i="1"/>
  <c r="F81" i="1" s="1"/>
  <c r="G81" i="1" s="1"/>
  <c r="H81" i="1" s="1"/>
  <c r="I81" i="1" s="1"/>
  <c r="D80" i="1"/>
  <c r="F80" i="1" s="1"/>
  <c r="G80" i="1" s="1"/>
  <c r="H80" i="1" s="1"/>
  <c r="I80" i="1" s="1"/>
  <c r="D72" i="1"/>
  <c r="D79" i="1"/>
  <c r="D71" i="1"/>
  <c r="E71" i="1" s="1"/>
  <c r="D70" i="1"/>
  <c r="D77" i="1"/>
  <c r="E77" i="1" s="1"/>
  <c r="D135" i="1"/>
  <c r="F135" i="1" s="1"/>
  <c r="G135" i="1" s="1"/>
  <c r="H135" i="1" s="1"/>
  <c r="I135" i="1" s="1"/>
  <c r="D134" i="1"/>
  <c r="F134" i="1" s="1"/>
  <c r="G134" i="1" s="1"/>
  <c r="H134" i="1" s="1"/>
  <c r="I134" i="1" s="1"/>
  <c r="D133" i="1"/>
  <c r="F133" i="1" s="1"/>
  <c r="G133" i="1" s="1"/>
  <c r="H133" i="1" s="1"/>
  <c r="I133" i="1" s="1"/>
  <c r="D132" i="1"/>
  <c r="F132" i="1" s="1"/>
  <c r="G132" i="1" s="1"/>
  <c r="H132" i="1" s="1"/>
  <c r="I132" i="1" s="1"/>
  <c r="D131" i="1"/>
  <c r="E131" i="1" s="1"/>
  <c r="E127" i="1" s="1"/>
  <c r="D130" i="1"/>
  <c r="F130" i="1" s="1"/>
  <c r="G130" i="1" s="1"/>
  <c r="H130" i="1" s="1"/>
  <c r="I130" i="1" s="1"/>
  <c r="D129" i="1"/>
  <c r="F129" i="1" s="1"/>
  <c r="G129" i="1" s="1"/>
  <c r="H129" i="1" s="1"/>
  <c r="I129" i="1" s="1"/>
  <c r="D128" i="1"/>
  <c r="F128" i="1" s="1"/>
  <c r="G128" i="1" s="1"/>
  <c r="H128" i="1" s="1"/>
  <c r="I128" i="1" s="1"/>
  <c r="D127" i="1"/>
  <c r="F127" i="1" s="1"/>
  <c r="G127" i="1" s="1"/>
  <c r="H127" i="1" s="1"/>
  <c r="I127" i="1" s="1"/>
  <c r="D126" i="1"/>
  <c r="F126" i="1" s="1"/>
  <c r="G126" i="1" s="1"/>
  <c r="H126" i="1" s="1"/>
  <c r="I126" i="1" s="1"/>
  <c r="D125" i="1"/>
  <c r="F125" i="1" s="1"/>
  <c r="D124" i="1"/>
  <c r="F124" i="1" s="1"/>
  <c r="G124" i="1" s="1"/>
  <c r="H124" i="1" s="1"/>
  <c r="I124" i="1" s="1"/>
  <c r="D123" i="1"/>
  <c r="F123" i="1" s="1"/>
  <c r="G123" i="1" s="1"/>
  <c r="H123" i="1" s="1"/>
  <c r="I123" i="1" s="1"/>
  <c r="F122" i="1"/>
  <c r="G122" i="1" s="1"/>
  <c r="H122" i="1" s="1"/>
  <c r="I122" i="1" s="1"/>
  <c r="D122" i="1"/>
  <c r="D121" i="1"/>
  <c r="F121" i="1" s="1"/>
  <c r="G121" i="1" s="1"/>
  <c r="H121" i="1" s="1"/>
  <c r="I121" i="1" s="1"/>
  <c r="D120" i="1"/>
  <c r="F120" i="1" s="1"/>
  <c r="G120" i="1" s="1"/>
  <c r="H120" i="1" s="1"/>
  <c r="I120" i="1" s="1"/>
  <c r="D119" i="1"/>
  <c r="F119" i="1" s="1"/>
  <c r="D118" i="1"/>
  <c r="F118" i="1" s="1"/>
  <c r="G118" i="1" s="1"/>
  <c r="H118" i="1" s="1"/>
  <c r="I118" i="1" s="1"/>
  <c r="D117" i="1"/>
  <c r="F117" i="1" s="1"/>
  <c r="G117" i="1" s="1"/>
  <c r="H117" i="1" s="1"/>
  <c r="I117" i="1" s="1"/>
  <c r="D106" i="1"/>
  <c r="F106" i="1" s="1"/>
  <c r="G106" i="1" s="1"/>
  <c r="H106" i="1" s="1"/>
  <c r="I106" i="1" s="1"/>
  <c r="F89" i="1"/>
  <c r="E89" i="1"/>
  <c r="F87" i="1"/>
  <c r="G87" i="1" s="1"/>
  <c r="H87" i="1" s="1"/>
  <c r="I87" i="1" s="1"/>
  <c r="F86" i="1"/>
  <c r="G86" i="1" s="1"/>
  <c r="H86" i="1" s="1"/>
  <c r="I86" i="1" s="1"/>
  <c r="F79" i="1"/>
  <c r="G79" i="1" s="1"/>
  <c r="H79" i="1" s="1"/>
  <c r="I79" i="1" s="1"/>
  <c r="F76" i="1"/>
  <c r="G76" i="1" s="1"/>
  <c r="H76" i="1" s="1"/>
  <c r="I76" i="1" s="1"/>
  <c r="F75" i="1"/>
  <c r="G75" i="1" s="1"/>
  <c r="H75" i="1" s="1"/>
  <c r="I75" i="1" s="1"/>
  <c r="F73" i="1"/>
  <c r="G73" i="1" s="1"/>
  <c r="H73" i="1" s="1"/>
  <c r="I73" i="1" s="1"/>
  <c r="F72" i="1"/>
  <c r="G72" i="1" s="1"/>
  <c r="H72" i="1" s="1"/>
  <c r="I72" i="1" s="1"/>
  <c r="D68" i="1"/>
  <c r="F68" i="1" s="1"/>
  <c r="G68" i="1" s="1"/>
  <c r="H68" i="1" s="1"/>
  <c r="I68" i="1" s="1"/>
  <c r="D67" i="1"/>
  <c r="F67" i="1" s="1"/>
  <c r="G67" i="1" s="1"/>
  <c r="H67" i="1" s="1"/>
  <c r="I67" i="1" s="1"/>
  <c r="D66" i="1"/>
  <c r="F66" i="1" s="1"/>
  <c r="G66" i="1" s="1"/>
  <c r="H66" i="1" s="1"/>
  <c r="I66" i="1" s="1"/>
  <c r="D65" i="1"/>
  <c r="E65" i="1" s="1"/>
  <c r="D64" i="1"/>
  <c r="F64" i="1" s="1"/>
  <c r="G64" i="1" s="1"/>
  <c r="H64" i="1" s="1"/>
  <c r="I64" i="1" s="1"/>
  <c r="D63" i="1"/>
  <c r="F63" i="1" s="1"/>
  <c r="G63" i="1" s="1"/>
  <c r="H63" i="1" s="1"/>
  <c r="I63" i="1" s="1"/>
  <c r="D62" i="1"/>
  <c r="F62" i="1" s="1"/>
  <c r="G62" i="1" s="1"/>
  <c r="H62" i="1" s="1"/>
  <c r="I62" i="1" s="1"/>
  <c r="D61" i="1"/>
  <c r="F61" i="1" s="1"/>
  <c r="G61" i="1" s="1"/>
  <c r="H61" i="1" s="1"/>
  <c r="I61" i="1" s="1"/>
  <c r="D60" i="1"/>
  <c r="F60" i="1" s="1"/>
  <c r="G60" i="1" s="1"/>
  <c r="H60" i="1" s="1"/>
  <c r="I60" i="1" s="1"/>
  <c r="D59" i="1"/>
  <c r="E59" i="1" s="1"/>
  <c r="E57" i="1" s="1"/>
  <c r="D58" i="1"/>
  <c r="F58" i="1" s="1"/>
  <c r="G58" i="1" s="1"/>
  <c r="H58" i="1" s="1"/>
  <c r="I58" i="1" s="1"/>
  <c r="D57" i="1"/>
  <c r="F57" i="1" s="1"/>
  <c r="G57" i="1" s="1"/>
  <c r="H57" i="1" s="1"/>
  <c r="I57" i="1" s="1"/>
  <c r="D56" i="1"/>
  <c r="F56" i="1" s="1"/>
  <c r="G56" i="1" s="1"/>
  <c r="H56" i="1" s="1"/>
  <c r="I56" i="1" s="1"/>
  <c r="D55" i="1"/>
  <c r="F55" i="1" s="1"/>
  <c r="G55" i="1" s="1"/>
  <c r="H55" i="1" s="1"/>
  <c r="I55" i="1" s="1"/>
  <c r="D54" i="1"/>
  <c r="F54" i="1" s="1"/>
  <c r="G54" i="1" s="1"/>
  <c r="H54" i="1" s="1"/>
  <c r="I54" i="1" s="1"/>
  <c r="D53" i="1"/>
  <c r="E53" i="1" s="1"/>
  <c r="D52" i="1"/>
  <c r="F52" i="1" s="1"/>
  <c r="G52" i="1" s="1"/>
  <c r="H52" i="1" s="1"/>
  <c r="I52" i="1" s="1"/>
  <c r="D51" i="1"/>
  <c r="F51" i="1" s="1"/>
  <c r="G51" i="1" s="1"/>
  <c r="H51" i="1" s="1"/>
  <c r="I51" i="1" s="1"/>
  <c r="D50" i="1"/>
  <c r="F50" i="1" s="1"/>
  <c r="G50" i="1" s="1"/>
  <c r="H50" i="1" s="1"/>
  <c r="I50" i="1" s="1"/>
  <c r="D49" i="1"/>
  <c r="F49" i="1" s="1"/>
  <c r="G49" i="1" s="1"/>
  <c r="H49" i="1" s="1"/>
  <c r="I49" i="1" s="1"/>
  <c r="D48" i="1"/>
  <c r="F48" i="1" s="1"/>
  <c r="G48" i="1" s="1"/>
  <c r="H48" i="1" s="1"/>
  <c r="I48" i="1" s="1"/>
  <c r="F47" i="1"/>
  <c r="D47" i="1"/>
  <c r="E47" i="1" s="1"/>
  <c r="D46" i="1"/>
  <c r="F46" i="1" s="1"/>
  <c r="G46" i="1" s="1"/>
  <c r="H46" i="1" s="1"/>
  <c r="I46" i="1" s="1"/>
  <c r="D45" i="1"/>
  <c r="F45" i="1" s="1"/>
  <c r="G45" i="1" s="1"/>
  <c r="H45" i="1" s="1"/>
  <c r="I45" i="1" s="1"/>
  <c r="D44" i="1"/>
  <c r="F44" i="1" s="1"/>
  <c r="G44" i="1" s="1"/>
  <c r="H44" i="1" s="1"/>
  <c r="I44" i="1" s="1"/>
  <c r="D43" i="1"/>
  <c r="F43" i="1" s="1"/>
  <c r="G43" i="1" s="1"/>
  <c r="H43" i="1" s="1"/>
  <c r="I43" i="1" s="1"/>
  <c r="D42" i="1"/>
  <c r="F42" i="1" s="1"/>
  <c r="G42" i="1" s="1"/>
  <c r="H42" i="1" s="1"/>
  <c r="I42" i="1" s="1"/>
  <c r="D41" i="1"/>
  <c r="F41" i="1" s="1"/>
  <c r="D40" i="1"/>
  <c r="F40" i="1" s="1"/>
  <c r="G40" i="1" s="1"/>
  <c r="H40" i="1" s="1"/>
  <c r="I40" i="1" s="1"/>
  <c r="D39" i="1"/>
  <c r="F39" i="1" s="1"/>
  <c r="G39" i="1" s="1"/>
  <c r="H39" i="1" s="1"/>
  <c r="I39" i="1" s="1"/>
  <c r="D38" i="1"/>
  <c r="F38" i="1" s="1"/>
  <c r="G38" i="1" s="1"/>
  <c r="H38" i="1" s="1"/>
  <c r="I38" i="1" s="1"/>
  <c r="D37" i="1"/>
  <c r="F37" i="1" s="1"/>
  <c r="G37" i="1" s="1"/>
  <c r="H37" i="1" s="1"/>
  <c r="I37" i="1" s="1"/>
  <c r="D36" i="1"/>
  <c r="F36" i="1" s="1"/>
  <c r="G36" i="1" s="1"/>
  <c r="H36" i="1" s="1"/>
  <c r="I36" i="1" s="1"/>
  <c r="D35" i="1"/>
  <c r="F35" i="1" s="1"/>
  <c r="D34" i="1"/>
  <c r="F34" i="1" s="1"/>
  <c r="G34" i="1" s="1"/>
  <c r="H34" i="1" s="1"/>
  <c r="I34" i="1" s="1"/>
  <c r="D33" i="1"/>
  <c r="F33" i="1" s="1"/>
  <c r="G33" i="1" s="1"/>
  <c r="H33" i="1" s="1"/>
  <c r="I33" i="1" s="1"/>
  <c r="D32" i="1"/>
  <c r="F32" i="1" s="1"/>
  <c r="G32" i="1" s="1"/>
  <c r="H32" i="1" s="1"/>
  <c r="I32" i="1" s="1"/>
  <c r="D31" i="1"/>
  <c r="F31" i="1" s="1"/>
  <c r="G31" i="1" s="1"/>
  <c r="H31" i="1" s="1"/>
  <c r="I31" i="1" s="1"/>
  <c r="D30" i="1"/>
  <c r="F30" i="1" s="1"/>
  <c r="G30" i="1" s="1"/>
  <c r="H30" i="1" s="1"/>
  <c r="I30" i="1" s="1"/>
  <c r="D29" i="1"/>
  <c r="F29" i="1" s="1"/>
  <c r="D28" i="1"/>
  <c r="F28" i="1" s="1"/>
  <c r="G28" i="1" s="1"/>
  <c r="H28" i="1" s="1"/>
  <c r="I28" i="1" s="1"/>
  <c r="D27" i="1"/>
  <c r="F27" i="1" s="1"/>
  <c r="G27" i="1" s="1"/>
  <c r="H27" i="1" s="1"/>
  <c r="I27" i="1" s="1"/>
  <c r="D26" i="1"/>
  <c r="F26" i="1" s="1"/>
  <c r="G26" i="1" s="1"/>
  <c r="H26" i="1" s="1"/>
  <c r="I26" i="1" s="1"/>
  <c r="D25" i="1"/>
  <c r="F25" i="1" s="1"/>
  <c r="G25" i="1" s="1"/>
  <c r="H25" i="1" s="1"/>
  <c r="I25" i="1" s="1"/>
  <c r="D24" i="1"/>
  <c r="F24" i="1" s="1"/>
  <c r="G24" i="1" s="1"/>
  <c r="H24" i="1" s="1"/>
  <c r="I24" i="1" s="1"/>
  <c r="D23" i="1"/>
  <c r="F23" i="1" s="1"/>
  <c r="D22" i="1"/>
  <c r="F22" i="1" s="1"/>
  <c r="G22" i="1" s="1"/>
  <c r="H22" i="1" s="1"/>
  <c r="I22" i="1" s="1"/>
  <c r="D21" i="1"/>
  <c r="F21" i="1" s="1"/>
  <c r="G21" i="1" s="1"/>
  <c r="H21" i="1" s="1"/>
  <c r="I21" i="1" s="1"/>
  <c r="F20" i="1"/>
  <c r="G20" i="1" s="1"/>
  <c r="H20" i="1" s="1"/>
  <c r="I20" i="1" s="1"/>
  <c r="D20" i="1"/>
  <c r="D19" i="1"/>
  <c r="F19" i="1" s="1"/>
  <c r="G19" i="1" s="1"/>
  <c r="H19" i="1" s="1"/>
  <c r="I19" i="1" s="1"/>
  <c r="D18" i="1"/>
  <c r="F18" i="1" s="1"/>
  <c r="G18" i="1" s="1"/>
  <c r="H18" i="1" s="1"/>
  <c r="I18" i="1" s="1"/>
  <c r="D17" i="1"/>
  <c r="E17" i="1" s="1"/>
  <c r="D16" i="1"/>
  <c r="F16" i="1" s="1"/>
  <c r="G16" i="1" s="1"/>
  <c r="H16" i="1" s="1"/>
  <c r="I16" i="1" s="1"/>
  <c r="D15" i="1"/>
  <c r="F15" i="1" s="1"/>
  <c r="G15" i="1" s="1"/>
  <c r="H15" i="1" s="1"/>
  <c r="I15" i="1" s="1"/>
  <c r="D14" i="1"/>
  <c r="F14" i="1" s="1"/>
  <c r="G14" i="1" s="1"/>
  <c r="H14" i="1" s="1"/>
  <c r="I14" i="1" s="1"/>
  <c r="D13" i="1"/>
  <c r="F13" i="1" s="1"/>
  <c r="G13" i="1" s="1"/>
  <c r="H13" i="1" s="1"/>
  <c r="I13" i="1" s="1"/>
  <c r="D12" i="1"/>
  <c r="F12" i="1" s="1"/>
  <c r="G12" i="1" s="1"/>
  <c r="H12" i="1" s="1"/>
  <c r="I12" i="1" s="1"/>
  <c r="F6" i="1"/>
  <c r="F5" i="1"/>
  <c r="F4" i="1"/>
  <c r="D107" i="1" l="1"/>
  <c r="E107" i="1" s="1"/>
  <c r="D101" i="1"/>
  <c r="D112" i="1"/>
  <c r="F112" i="1" s="1"/>
  <c r="G112" i="1" s="1"/>
  <c r="H112" i="1" s="1"/>
  <c r="I112" i="1" s="1"/>
  <c r="E126" i="1"/>
  <c r="D111" i="1"/>
  <c r="F111" i="1" s="1"/>
  <c r="G111" i="1" s="1"/>
  <c r="H111" i="1" s="1"/>
  <c r="I111" i="1" s="1"/>
  <c r="D102" i="1"/>
  <c r="F102" i="1" s="1"/>
  <c r="G102" i="1" s="1"/>
  <c r="H102" i="1" s="1"/>
  <c r="I102" i="1" s="1"/>
  <c r="D113" i="1"/>
  <c r="D110" i="1"/>
  <c r="F110" i="1" s="1"/>
  <c r="G110" i="1" s="1"/>
  <c r="H110" i="1" s="1"/>
  <c r="I110" i="1" s="1"/>
  <c r="D103" i="1"/>
  <c r="F103" i="1" s="1"/>
  <c r="G103" i="1" s="1"/>
  <c r="H103" i="1" s="1"/>
  <c r="I103" i="1" s="1"/>
  <c r="D114" i="1"/>
  <c r="F114" i="1" s="1"/>
  <c r="G114" i="1" s="1"/>
  <c r="H114" i="1" s="1"/>
  <c r="I114" i="1" s="1"/>
  <c r="D104" i="1"/>
  <c r="F104" i="1" s="1"/>
  <c r="G104" i="1" s="1"/>
  <c r="H104" i="1" s="1"/>
  <c r="I104" i="1" s="1"/>
  <c r="D115" i="1"/>
  <c r="F115" i="1" s="1"/>
  <c r="G115" i="1" s="1"/>
  <c r="H115" i="1" s="1"/>
  <c r="I115" i="1" s="1"/>
  <c r="D105" i="1"/>
  <c r="F105" i="1" s="1"/>
  <c r="G105" i="1" s="1"/>
  <c r="H105" i="1" s="1"/>
  <c r="I105" i="1" s="1"/>
  <c r="D116" i="1"/>
  <c r="F116" i="1" s="1"/>
  <c r="G116" i="1" s="1"/>
  <c r="H116" i="1" s="1"/>
  <c r="I116" i="1" s="1"/>
  <c r="E58" i="1"/>
  <c r="F65" i="1"/>
  <c r="D108" i="1"/>
  <c r="E130" i="1"/>
  <c r="D109" i="1"/>
  <c r="F107" i="1"/>
  <c r="E16" i="1"/>
  <c r="E12" i="1"/>
  <c r="E15" i="1"/>
  <c r="E14" i="1"/>
  <c r="E13" i="1"/>
  <c r="E70" i="1"/>
  <c r="F70" i="1" s="1"/>
  <c r="G70" i="1" s="1"/>
  <c r="H70" i="1" s="1"/>
  <c r="I70" i="1" s="1"/>
  <c r="E69" i="1"/>
  <c r="F69" i="1" s="1"/>
  <c r="G69" i="1" s="1"/>
  <c r="H69" i="1" s="1"/>
  <c r="I69" i="1" s="1"/>
  <c r="E60" i="1"/>
  <c r="E63" i="1"/>
  <c r="E61" i="1"/>
  <c r="E62" i="1"/>
  <c r="E64" i="1"/>
  <c r="E42" i="1"/>
  <c r="E45" i="1"/>
  <c r="E44" i="1"/>
  <c r="E43" i="1"/>
  <c r="E46" i="1"/>
  <c r="E49" i="1"/>
  <c r="E48" i="1"/>
  <c r="E52" i="1"/>
  <c r="E51" i="1"/>
  <c r="E50" i="1"/>
  <c r="E35" i="1"/>
  <c r="F71" i="1"/>
  <c r="E56" i="1"/>
  <c r="E55" i="1"/>
  <c r="F53" i="1"/>
  <c r="F83" i="1"/>
  <c r="F17" i="1"/>
  <c r="F88" i="1"/>
  <c r="G88" i="1" s="1"/>
  <c r="H88" i="1" s="1"/>
  <c r="I88" i="1" s="1"/>
  <c r="E129" i="1"/>
  <c r="E128" i="1"/>
  <c r="E101" i="1"/>
  <c r="F101" i="1" s="1"/>
  <c r="E119" i="1"/>
  <c r="E29" i="1"/>
  <c r="E54" i="1"/>
  <c r="F131" i="1"/>
  <c r="F77" i="1"/>
  <c r="E41" i="1"/>
  <c r="F59" i="1"/>
  <c r="E113" i="1"/>
  <c r="F113" i="1" s="1"/>
  <c r="E95" i="1"/>
  <c r="E23" i="1"/>
  <c r="E125" i="1"/>
  <c r="E136" i="1"/>
  <c r="F136" i="1" s="1"/>
  <c r="F95" i="1" l="1"/>
  <c r="E97" i="1"/>
  <c r="F97" i="1" s="1"/>
  <c r="G97" i="1" s="1"/>
  <c r="H97" i="1" s="1"/>
  <c r="I97" i="1" s="1"/>
  <c r="E96" i="1"/>
  <c r="F96" i="1" s="1"/>
  <c r="G96" i="1" s="1"/>
  <c r="H96" i="1" s="1"/>
  <c r="I96" i="1" s="1"/>
  <c r="F109" i="1"/>
  <c r="G109" i="1" s="1"/>
  <c r="H109" i="1" s="1"/>
  <c r="I109" i="1" s="1"/>
  <c r="F108" i="1"/>
  <c r="G108" i="1" s="1"/>
  <c r="H108" i="1" s="1"/>
  <c r="I108" i="1" s="1"/>
  <c r="E38" i="1"/>
  <c r="E37" i="1"/>
  <c r="E39" i="1"/>
  <c r="E40" i="1"/>
  <c r="E36" i="1"/>
  <c r="E31" i="1"/>
  <c r="E34" i="1"/>
  <c r="E30" i="1"/>
  <c r="E33" i="1"/>
  <c r="E32" i="1"/>
  <c r="E99" i="1"/>
  <c r="F99" i="1" s="1"/>
  <c r="G99" i="1" s="1"/>
  <c r="H99" i="1" s="1"/>
  <c r="I99" i="1" s="1"/>
  <c r="E98" i="1"/>
  <c r="F98" i="1" s="1"/>
  <c r="G98" i="1" s="1"/>
  <c r="H98" i="1" s="1"/>
  <c r="I98" i="1" s="1"/>
  <c r="E100" i="1"/>
  <c r="F100" i="1" s="1"/>
  <c r="G100" i="1" s="1"/>
  <c r="H100" i="1" s="1"/>
  <c r="I100" i="1" s="1"/>
  <c r="E135" i="1"/>
  <c r="E132" i="1"/>
  <c r="E134" i="1"/>
  <c r="E133" i="1"/>
  <c r="E92" i="1"/>
  <c r="F92" i="1" s="1"/>
  <c r="G92" i="1" s="1"/>
  <c r="H92" i="1" s="1"/>
  <c r="I92" i="1" s="1"/>
  <c r="E91" i="1"/>
  <c r="F91" i="1" s="1"/>
  <c r="G91" i="1" s="1"/>
  <c r="H91" i="1" s="1"/>
  <c r="I91" i="1" s="1"/>
  <c r="E93" i="1"/>
  <c r="F93" i="1" s="1"/>
  <c r="G93" i="1" s="1"/>
  <c r="H93" i="1" s="1"/>
  <c r="I93" i="1" s="1"/>
  <c r="E90" i="1"/>
  <c r="F90" i="1" s="1"/>
  <c r="G90" i="1" s="1"/>
  <c r="H90" i="1" s="1"/>
  <c r="I90" i="1" s="1"/>
  <c r="E94" i="1"/>
  <c r="F94" i="1" s="1"/>
  <c r="G94" i="1" s="1"/>
  <c r="H94" i="1" s="1"/>
  <c r="I94" i="1" s="1"/>
  <c r="E27" i="1"/>
  <c r="E26" i="1"/>
  <c r="E25" i="1"/>
  <c r="E24" i="1"/>
  <c r="E28" i="1"/>
  <c r="E124" i="1"/>
  <c r="E121" i="1"/>
  <c r="E123" i="1"/>
  <c r="E120" i="1"/>
  <c r="E122" i="1"/>
  <c r="E20" i="1"/>
  <c r="E22" i="1"/>
  <c r="E19" i="1"/>
  <c r="E21" i="1"/>
  <c r="E18" i="1"/>
</calcChain>
</file>

<file path=xl/sharedStrings.xml><?xml version="1.0" encoding="utf-8"?>
<sst xmlns="http://schemas.openxmlformats.org/spreadsheetml/2006/main" count="210" uniqueCount="67">
  <si>
    <t>STD-1</t>
  </si>
  <si>
    <t>STD-2</t>
  </si>
  <si>
    <t>R²</t>
  </si>
  <si>
    <t>STD-5</t>
  </si>
  <si>
    <t>STD-10</t>
  </si>
  <si>
    <t>STD-20</t>
  </si>
  <si>
    <t>步骤</t>
  </si>
  <si>
    <t>操作</t>
  </si>
  <si>
    <t>样品/mL</t>
  </si>
  <si>
    <t>MQ/mL</t>
  </si>
  <si>
    <t>10% KI/抗坏血酸/mL</t>
  </si>
  <si>
    <t>1 M HCl/mL</t>
  </si>
  <si>
    <t>终体积/mL</t>
  </si>
  <si>
    <t>说明</t>
  </si>
  <si>
    <t>1. 十倍稀释</t>
  </si>
  <si>
    <t>原始滤液先稀释 10 倍，不还原</t>
  </si>
  <si>
    <t>混匀后作为十倍液</t>
  </si>
  <si>
    <t>2. 约六十倍并还原</t>
  </si>
  <si>
    <t>取十倍液进行第二步处理</t>
  </si>
  <si>
    <t>3. 还原</t>
  </si>
  <si>
    <t>第二步配液后完成还原</t>
  </si>
  <si>
    <t>常温隔夜不少于 6–8 h，或 70 ℃ 加热 1 h</t>
  </si>
  <si>
    <t>4. 上机</t>
  </si>
  <si>
    <t>还原后直接测定，不再稀释</t>
  </si>
  <si>
    <t>实际总稀释 598.8889 倍</t>
  </si>
  <si>
    <r>
      <rPr>
        <sz val="11"/>
        <rFont val="微软雅黑"/>
        <family val="2"/>
        <charset val="134"/>
      </rPr>
      <t>第二步实际稀释</t>
    </r>
    <r>
      <rPr>
        <sz val="11"/>
        <rFont val="Arial"/>
        <family val="2"/>
      </rPr>
      <t xml:space="preserve">600 </t>
    </r>
    <r>
      <rPr>
        <sz val="11"/>
        <rFont val="微软雅黑"/>
        <family val="2"/>
        <charset val="134"/>
      </rPr>
      <t>倍</t>
    </r>
    <phoneticPr fontId="3" type="noConversion"/>
  </si>
  <si>
    <r>
      <t xml:space="preserve">Sb(V) </t>
    </r>
    <r>
      <rPr>
        <b/>
        <sz val="11"/>
        <rFont val="宋体"/>
        <family val="3"/>
        <charset val="134"/>
      </rPr>
      <t>吸附边</t>
    </r>
    <r>
      <rPr>
        <b/>
        <sz val="11"/>
        <rFont val="Times New Roman"/>
        <family val="1"/>
      </rPr>
      <t xml:space="preserve"> / </t>
    </r>
    <r>
      <rPr>
        <b/>
        <sz val="11"/>
        <rFont val="宋体"/>
        <family val="3"/>
        <charset val="134"/>
      </rPr>
      <t>离子强度数据汇总</t>
    </r>
  </si>
  <si>
    <r>
      <rPr>
        <b/>
        <sz val="11"/>
        <rFont val="宋体"/>
        <family val="3"/>
        <charset val="134"/>
      </rPr>
      <t>标准编号</t>
    </r>
  </si>
  <si>
    <r>
      <rPr>
        <b/>
        <sz val="11"/>
        <rFont val="宋体"/>
        <family val="3"/>
        <charset val="134"/>
      </rPr>
      <t>标准浓度</t>
    </r>
    <r>
      <rPr>
        <b/>
        <sz val="11"/>
        <rFont val="Times New Roman"/>
        <family val="1"/>
      </rPr>
      <t>/ppb</t>
    </r>
  </si>
  <si>
    <r>
      <rPr>
        <b/>
        <sz val="11"/>
        <rFont val="宋体"/>
        <family val="3"/>
        <charset val="134"/>
      </rPr>
      <t>实测荧光值</t>
    </r>
  </si>
  <si>
    <r>
      <rPr>
        <b/>
        <sz val="11"/>
        <rFont val="宋体"/>
        <family val="3"/>
        <charset val="134"/>
      </rPr>
      <t>标线参数</t>
    </r>
  </si>
  <si>
    <r>
      <rPr>
        <b/>
        <sz val="11"/>
        <rFont val="宋体"/>
        <family val="3"/>
        <charset val="134"/>
      </rPr>
      <t>结果</t>
    </r>
  </si>
  <si>
    <r>
      <rPr>
        <sz val="11"/>
        <rFont val="宋体"/>
        <family val="3"/>
        <charset val="134"/>
      </rPr>
      <t>空白</t>
    </r>
  </si>
  <si>
    <r>
      <rPr>
        <sz val="11"/>
        <rFont val="宋体"/>
        <family val="3"/>
        <charset val="134"/>
      </rPr>
      <t>斜率</t>
    </r>
  </si>
  <si>
    <r>
      <rPr>
        <sz val="11"/>
        <rFont val="宋体"/>
        <family val="3"/>
        <charset val="134"/>
      </rPr>
      <t>截距</t>
    </r>
  </si>
  <si>
    <r>
      <rPr>
        <sz val="11"/>
        <rFont val="宋体"/>
        <family val="3"/>
        <charset val="134"/>
      </rPr>
      <t>初始</t>
    </r>
    <r>
      <rPr>
        <sz val="11"/>
        <rFont val="Times New Roman"/>
        <family val="1"/>
      </rPr>
      <t xml:space="preserve"> Sb/ppm</t>
    </r>
  </si>
  <si>
    <r>
      <rPr>
        <sz val="11"/>
        <rFont val="宋体"/>
        <family val="3"/>
        <charset val="134"/>
      </rPr>
      <t>总稀释倍数</t>
    </r>
  </si>
  <si>
    <r>
      <rPr>
        <sz val="11"/>
        <rFont val="宋体"/>
        <family val="3"/>
        <charset val="134"/>
      </rPr>
      <t>实验日期：</t>
    </r>
  </si>
  <si>
    <r>
      <rPr>
        <sz val="11"/>
        <rFont val="宋体"/>
        <family val="3"/>
        <charset val="134"/>
      </rPr>
      <t>日期</t>
    </r>
    <r>
      <rPr>
        <sz val="11"/>
        <rFont val="Times New Roman"/>
        <family val="1"/>
      </rPr>
      <t>260924</t>
    </r>
  </si>
  <si>
    <r>
      <rPr>
        <sz val="11"/>
        <rFont val="宋体"/>
        <family val="3"/>
        <charset val="134"/>
      </rPr>
      <t>样品名称</t>
    </r>
  </si>
  <si>
    <r>
      <rPr>
        <sz val="11"/>
        <rFont val="宋体"/>
        <family val="3"/>
        <charset val="134"/>
      </rPr>
      <t>目标</t>
    </r>
    <r>
      <rPr>
        <sz val="11"/>
        <rFont val="Times New Roman"/>
        <family val="1"/>
      </rPr>
      <t xml:space="preserve"> pH</t>
    </r>
  </si>
  <si>
    <r>
      <rPr>
        <sz val="11"/>
        <rFont val="宋体"/>
        <family val="3"/>
        <charset val="134"/>
      </rPr>
      <t>实测荧光值</t>
    </r>
  </si>
  <si>
    <r>
      <rPr>
        <sz val="11"/>
        <rFont val="宋体"/>
        <family val="3"/>
        <charset val="134"/>
      </rPr>
      <t>标线计算</t>
    </r>
    <r>
      <rPr>
        <sz val="11"/>
        <rFont val="Times New Roman"/>
        <family val="1"/>
      </rPr>
      <t>/ppb</t>
    </r>
  </si>
  <si>
    <r>
      <rPr>
        <sz val="11"/>
        <rFont val="宋体"/>
        <family val="3"/>
        <charset val="134"/>
      </rPr>
      <t>校正因子</t>
    </r>
  </si>
  <si>
    <r>
      <rPr>
        <sz val="11"/>
        <rFont val="宋体"/>
        <family val="3"/>
        <charset val="134"/>
      </rPr>
      <t>校正终液</t>
    </r>
    <r>
      <rPr>
        <sz val="11"/>
        <rFont val="Times New Roman"/>
        <family val="1"/>
      </rPr>
      <t>/ppb</t>
    </r>
  </si>
  <si>
    <r>
      <rPr>
        <sz val="11"/>
        <rFont val="宋体"/>
        <family val="3"/>
        <charset val="134"/>
      </rPr>
      <t>折算原样</t>
    </r>
    <r>
      <rPr>
        <sz val="11"/>
        <rFont val="Times New Roman"/>
        <family val="1"/>
      </rPr>
      <t>/ppm</t>
    </r>
  </si>
  <si>
    <r>
      <rPr>
        <sz val="11"/>
        <rFont val="宋体"/>
        <family val="3"/>
        <charset val="134"/>
      </rPr>
      <t>剩余率</t>
    </r>
    <r>
      <rPr>
        <sz val="11"/>
        <rFont val="Times New Roman"/>
        <family val="1"/>
      </rPr>
      <t>/%</t>
    </r>
  </si>
  <si>
    <r>
      <rPr>
        <sz val="11"/>
        <rFont val="宋体"/>
        <family val="3"/>
        <charset val="134"/>
      </rPr>
      <t>吸附率</t>
    </r>
    <r>
      <rPr>
        <sz val="11"/>
        <rFont val="Times New Roman"/>
        <family val="1"/>
      </rPr>
      <t>/%</t>
    </r>
  </si>
  <si>
    <r>
      <rPr>
        <sz val="11"/>
        <rFont val="宋体"/>
        <family val="3"/>
        <charset val="134"/>
      </rPr>
      <t>六方纤铁矿</t>
    </r>
    <r>
      <rPr>
        <sz val="11"/>
        <rFont val="Times New Roman"/>
        <family val="1"/>
      </rPr>
      <t>-0.001 M NaNO</t>
    </r>
    <r>
      <rPr>
        <sz val="11"/>
        <rFont val="Carlito"/>
      </rPr>
      <t>₃</t>
    </r>
  </si>
  <si>
    <r>
      <t xml:space="preserve">10 ppb </t>
    </r>
    <r>
      <rPr>
        <sz val="11"/>
        <rFont val="宋体"/>
        <family val="3"/>
        <charset val="134"/>
      </rPr>
      <t>检查标准</t>
    </r>
  </si>
  <si>
    <r>
      <rPr>
        <sz val="11"/>
        <rFont val="宋体"/>
        <family val="3"/>
        <charset val="134"/>
      </rPr>
      <t>六方纤铁矿</t>
    </r>
    <r>
      <rPr>
        <sz val="11"/>
        <rFont val="Times New Roman"/>
        <family val="1"/>
      </rPr>
      <t>-0.01 M NaNO</t>
    </r>
    <r>
      <rPr>
        <sz val="11"/>
        <rFont val="Carlito"/>
      </rPr>
      <t>₃</t>
    </r>
  </si>
  <si>
    <r>
      <rPr>
        <sz val="11"/>
        <rFont val="宋体"/>
        <family val="3"/>
        <charset val="134"/>
      </rPr>
      <t>六方纤铁矿</t>
    </r>
    <r>
      <rPr>
        <sz val="11"/>
        <rFont val="Times New Roman"/>
        <family val="1"/>
      </rPr>
      <t>-ASW</t>
    </r>
  </si>
  <si>
    <r>
      <t>δ-MnO</t>
    </r>
    <r>
      <rPr>
        <sz val="11"/>
        <rFont val="Carlito"/>
      </rPr>
      <t>₂</t>
    </r>
    <r>
      <rPr>
        <sz val="11"/>
        <rFont val="Times New Roman"/>
        <family val="1"/>
      </rPr>
      <t>-0.001 M NaNO</t>
    </r>
    <r>
      <rPr>
        <sz val="11"/>
        <rFont val="Carlito"/>
      </rPr>
      <t>₃</t>
    </r>
  </si>
  <si>
    <r>
      <t>δ-MnO</t>
    </r>
    <r>
      <rPr>
        <sz val="11"/>
        <rFont val="Carlito"/>
      </rPr>
      <t>₂</t>
    </r>
    <r>
      <rPr>
        <sz val="11"/>
        <rFont val="Times New Roman"/>
        <family val="1"/>
      </rPr>
      <t>-0.01 M NaNO</t>
    </r>
    <r>
      <rPr>
        <sz val="11"/>
        <rFont val="Carlito"/>
      </rPr>
      <t>₃</t>
    </r>
  </si>
  <si>
    <r>
      <t>δ-MnO</t>
    </r>
    <r>
      <rPr>
        <sz val="11"/>
        <rFont val="Carlito"/>
      </rPr>
      <t>₂</t>
    </r>
    <r>
      <rPr>
        <sz val="11"/>
        <rFont val="Times New Roman"/>
        <family val="1"/>
      </rPr>
      <t>-ASW</t>
    </r>
  </si>
  <si>
    <r>
      <rPr>
        <sz val="11"/>
        <rFont val="宋体"/>
        <family val="3"/>
        <charset val="134"/>
      </rPr>
      <t>钙锰矿</t>
    </r>
    <r>
      <rPr>
        <sz val="11"/>
        <rFont val="Times New Roman"/>
        <family val="1"/>
      </rPr>
      <t>-0.001 M NaNO</t>
    </r>
    <r>
      <rPr>
        <sz val="11"/>
        <rFont val="Carlito"/>
      </rPr>
      <t>₃</t>
    </r>
  </si>
  <si>
    <r>
      <t xml:space="preserve">1 ppb </t>
    </r>
    <r>
      <rPr>
        <sz val="11"/>
        <rFont val="宋体"/>
        <family val="3"/>
        <charset val="134"/>
      </rPr>
      <t>检查标准</t>
    </r>
    <phoneticPr fontId="3" type="noConversion"/>
  </si>
  <si>
    <r>
      <t xml:space="preserve">5 ppb </t>
    </r>
    <r>
      <rPr>
        <sz val="11"/>
        <rFont val="宋体"/>
        <family val="3"/>
        <charset val="134"/>
      </rPr>
      <t>检查标准</t>
    </r>
    <phoneticPr fontId="3" type="noConversion"/>
  </si>
  <si>
    <r>
      <rPr>
        <sz val="11"/>
        <rFont val="宋体"/>
        <family val="3"/>
        <charset val="134"/>
      </rPr>
      <t>钙锰矿</t>
    </r>
    <r>
      <rPr>
        <sz val="11"/>
        <rFont val="Times New Roman"/>
        <family val="1"/>
      </rPr>
      <t>-0.01 M NaNO</t>
    </r>
    <r>
      <rPr>
        <sz val="11"/>
        <rFont val="Carlito"/>
      </rPr>
      <t>₃</t>
    </r>
  </si>
  <si>
    <r>
      <rPr>
        <sz val="11"/>
        <rFont val="宋体"/>
        <family val="3"/>
        <charset val="134"/>
      </rPr>
      <t>钙锰矿</t>
    </r>
    <r>
      <rPr>
        <sz val="11"/>
        <rFont val="Times New Roman"/>
        <family val="1"/>
      </rPr>
      <t>-ASW</t>
    </r>
  </si>
  <si>
    <r>
      <rPr>
        <sz val="11"/>
        <rFont val="宋体"/>
        <family val="3"/>
        <charset val="134"/>
      </rPr>
      <t>酸性水钠锰矿</t>
    </r>
    <r>
      <rPr>
        <sz val="11"/>
        <rFont val="Times New Roman"/>
        <family val="1"/>
      </rPr>
      <t>-0.001 M NaNO</t>
    </r>
    <r>
      <rPr>
        <sz val="11"/>
        <rFont val="Carlito"/>
      </rPr>
      <t>₃</t>
    </r>
  </si>
  <si>
    <r>
      <t xml:space="preserve">2 ppb </t>
    </r>
    <r>
      <rPr>
        <sz val="11"/>
        <rFont val="宋体"/>
        <family val="3"/>
        <charset val="134"/>
      </rPr>
      <t>检查标准</t>
    </r>
    <phoneticPr fontId="3" type="noConversion"/>
  </si>
  <si>
    <r>
      <t xml:space="preserve">20 ppb </t>
    </r>
    <r>
      <rPr>
        <sz val="11"/>
        <rFont val="宋体"/>
        <family val="3"/>
        <charset val="134"/>
      </rPr>
      <t>检查标准</t>
    </r>
    <phoneticPr fontId="3" type="noConversion"/>
  </si>
  <si>
    <r>
      <rPr>
        <sz val="11"/>
        <rFont val="宋体"/>
        <family val="3"/>
        <charset val="134"/>
      </rPr>
      <t>酸性水钠锰矿</t>
    </r>
    <r>
      <rPr>
        <sz val="11"/>
        <rFont val="Times New Roman"/>
        <family val="1"/>
      </rPr>
      <t>-0.01 M NaNO</t>
    </r>
    <r>
      <rPr>
        <sz val="11"/>
        <rFont val="Carlito"/>
      </rPr>
      <t>₃</t>
    </r>
  </si>
  <si>
    <r>
      <rPr>
        <sz val="11"/>
        <rFont val="宋体"/>
        <family val="3"/>
        <charset val="134"/>
      </rPr>
      <t>碱性水钠锰矿</t>
    </r>
    <r>
      <rPr>
        <sz val="11"/>
        <rFont val="Times New Roman"/>
        <family val="1"/>
      </rPr>
      <t>-0.001 M NaNO</t>
    </r>
    <r>
      <rPr>
        <sz val="11"/>
        <rFont val="Carlito"/>
      </rPr>
      <t>₃</t>
    </r>
  </si>
  <si>
    <r>
      <rPr>
        <sz val="11"/>
        <rFont val="宋体"/>
        <family val="3"/>
        <charset val="134"/>
      </rPr>
      <t>碱性水钠锰矿</t>
    </r>
    <r>
      <rPr>
        <sz val="11"/>
        <rFont val="Times New Roman"/>
        <family val="1"/>
      </rPr>
      <t>-0.01 M NaNO</t>
    </r>
    <r>
      <rPr>
        <sz val="11"/>
        <rFont val="Carlito"/>
      </rPr>
      <t>₃</t>
    </r>
  </si>
  <si>
    <r>
      <rPr>
        <sz val="11"/>
        <rFont val="宋体"/>
        <family val="3"/>
        <charset val="134"/>
      </rPr>
      <t>日期</t>
    </r>
    <r>
      <rPr>
        <sz val="11"/>
        <rFont val="Times New Roman"/>
        <family val="1"/>
      </rPr>
      <t>260923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</si>
</sst>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_ "/>
  </numFmts>
  <fonts count="12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176" fontId="0" fillId="0" borderId="5" xfId="1" applyNumberFormat="1" applyFont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6" fontId="0" fillId="0" borderId="10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10" fillId="0" borderId="0" xfId="0" applyFont="1"/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0" fillId="0" borderId="4" xfId="1" applyFont="1" applyBorder="1" applyAlignment="1">
      <alignment vertical="center"/>
    </xf>
    <xf numFmtId="0" fontId="10" fillId="0" borderId="5" xfId="1" applyFont="1" applyBorder="1" applyAlignment="1">
      <alignment vertical="center"/>
    </xf>
    <xf numFmtId="177" fontId="10" fillId="6" borderId="0" xfId="1" applyNumberFormat="1" applyFont="1" applyFill="1"/>
    <xf numFmtId="176" fontId="10" fillId="0" borderId="6" xfId="1" applyNumberFormat="1" applyFont="1" applyBorder="1" applyAlignment="1">
      <alignment vertical="center"/>
    </xf>
    <xf numFmtId="177" fontId="10" fillId="4" borderId="0" xfId="1" applyNumberFormat="1" applyFont="1" applyFill="1"/>
    <xf numFmtId="177" fontId="10" fillId="5" borderId="0" xfId="1" applyNumberFormat="1" applyFont="1" applyFill="1"/>
    <xf numFmtId="0" fontId="10" fillId="0" borderId="7" xfId="1" applyFont="1" applyBorder="1" applyAlignment="1">
      <alignment vertical="center"/>
    </xf>
    <xf numFmtId="0" fontId="10" fillId="0" borderId="0" xfId="1" applyFont="1" applyAlignment="1">
      <alignment vertical="center"/>
    </xf>
    <xf numFmtId="176" fontId="10" fillId="0" borderId="8" xfId="1" applyNumberFormat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176" fontId="10" fillId="0" borderId="5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0" fontId="10" fillId="0" borderId="6" xfId="1" applyFont="1" applyBorder="1" applyAlignment="1">
      <alignment vertical="center" wrapText="1"/>
    </xf>
    <xf numFmtId="0" fontId="10" fillId="0" borderId="0" xfId="1" applyFont="1" applyAlignment="1">
      <alignment horizontal="center" vertical="center"/>
    </xf>
    <xf numFmtId="176" fontId="10" fillId="0" borderId="0" xfId="1" applyNumberFormat="1" applyFont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0" fontId="10" fillId="0" borderId="8" xfId="1" applyFont="1" applyBorder="1" applyAlignment="1">
      <alignment vertical="center" wrapText="1"/>
    </xf>
    <xf numFmtId="0" fontId="10" fillId="3" borderId="1" xfId="1" applyFont="1" applyFill="1" applyBorder="1" applyAlignment="1">
      <alignment vertical="center"/>
    </xf>
    <xf numFmtId="0" fontId="10" fillId="3" borderId="2" xfId="1" applyFont="1" applyFill="1" applyBorder="1" applyAlignment="1">
      <alignment horizontal="center" vertical="center"/>
    </xf>
    <xf numFmtId="176" fontId="10" fillId="3" borderId="2" xfId="1" applyNumberFormat="1" applyFont="1" applyFill="1" applyBorder="1" applyAlignment="1">
      <alignment horizontal="center" vertical="center"/>
    </xf>
    <xf numFmtId="2" fontId="10" fillId="3" borderId="2" xfId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vertical="center" wrapText="1"/>
    </xf>
    <xf numFmtId="176" fontId="10" fillId="4" borderId="0" xfId="1" applyNumberFormat="1" applyFont="1" applyFill="1" applyAlignment="1">
      <alignment horizontal="center" vertical="center"/>
    </xf>
    <xf numFmtId="176" fontId="10" fillId="0" borderId="2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176" fontId="10" fillId="6" borderId="0" xfId="1" applyNumberFormat="1" applyFont="1" applyFill="1" applyAlignment="1">
      <alignment horizontal="center" vertical="center"/>
    </xf>
    <xf numFmtId="176" fontId="10" fillId="6" borderId="2" xfId="1" applyNumberFormat="1" applyFont="1" applyFill="1" applyBorder="1" applyAlignment="1">
      <alignment horizontal="center" vertical="center"/>
    </xf>
    <xf numFmtId="176" fontId="10" fillId="5" borderId="0" xfId="1" applyNumberFormat="1" applyFont="1" applyFill="1" applyAlignment="1">
      <alignment horizontal="center" vertical="center"/>
    </xf>
    <xf numFmtId="0" fontId="9" fillId="0" borderId="0" xfId="1" applyFont="1" applyAlignment="1">
      <alignment vertical="center"/>
    </xf>
    <xf numFmtId="0" fontId="11" fillId="0" borderId="11" xfId="1" applyFont="1" applyBorder="1" applyAlignment="1">
      <alignment vertical="center"/>
    </xf>
    <xf numFmtId="176" fontId="10" fillId="0" borderId="2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tabSelected="1" zoomScale="70" zoomScaleNormal="70" workbookViewId="0">
      <pane xSplit="1" ySplit="11" topLeftCell="B84" activePane="bottomRight" state="frozen"/>
      <selection pane="topRight" activeCell="B1" sqref="B1"/>
      <selection pane="bottomLeft" activeCell="A12" sqref="A12"/>
      <selection pane="bottomRight" activeCell="L94" sqref="L94"/>
    </sheetView>
  </sheetViews>
  <sheetFormatPr defaultRowHeight="14"/>
  <cols>
    <col min="1" max="1" width="38" style="17" customWidth="1"/>
    <col min="2" max="2" width="15" style="17" customWidth="1"/>
    <col min="3" max="4" width="14" style="17" customWidth="1"/>
    <col min="5" max="5" width="16" style="17" customWidth="1"/>
    <col min="6" max="7" width="14" style="17" customWidth="1"/>
    <col min="8" max="9" width="12" style="17" customWidth="1"/>
    <col min="10" max="10" width="28" style="17" customWidth="1"/>
    <col min="11" max="12" width="8.6640625" style="17"/>
    <col min="13" max="13" width="10.5" style="17" customWidth="1"/>
    <col min="14" max="16384" width="8.6640625" style="17"/>
  </cols>
  <sheetData>
    <row r="1" spans="1:21" ht="17.399999999999999" customHeight="1">
      <c r="A1" s="58" t="s">
        <v>26</v>
      </c>
      <c r="B1" s="58"/>
      <c r="C1" s="58"/>
      <c r="D1" s="58"/>
      <c r="E1" s="58"/>
      <c r="F1" s="58"/>
      <c r="G1" s="58"/>
      <c r="H1" s="58"/>
      <c r="I1" s="58"/>
      <c r="J1" s="58"/>
    </row>
    <row r="3" spans="1:21" ht="28">
      <c r="A3" s="18" t="s">
        <v>27</v>
      </c>
      <c r="B3" s="19" t="s">
        <v>28</v>
      </c>
      <c r="C3" s="20" t="s">
        <v>29</v>
      </c>
      <c r="E3" s="18" t="s">
        <v>30</v>
      </c>
      <c r="F3" s="21" t="s">
        <v>31</v>
      </c>
      <c r="H3" s="18" t="s">
        <v>27</v>
      </c>
      <c r="I3" s="19" t="s">
        <v>28</v>
      </c>
      <c r="J3" s="21" t="s">
        <v>29</v>
      </c>
      <c r="L3" s="18" t="s">
        <v>30</v>
      </c>
      <c r="M3" s="21" t="s">
        <v>31</v>
      </c>
      <c r="P3" s="18" t="s">
        <v>27</v>
      </c>
      <c r="Q3" s="19" t="s">
        <v>28</v>
      </c>
      <c r="R3" s="21" t="s">
        <v>29</v>
      </c>
      <c r="T3" s="18" t="s">
        <v>30</v>
      </c>
      <c r="U3" s="21" t="s">
        <v>31</v>
      </c>
    </row>
    <row r="4" spans="1:21">
      <c r="A4" s="22" t="s">
        <v>32</v>
      </c>
      <c r="B4" s="23">
        <v>0</v>
      </c>
      <c r="C4" s="24">
        <v>320.29000000000002</v>
      </c>
      <c r="E4" s="22" t="s">
        <v>33</v>
      </c>
      <c r="F4" s="25">
        <f>IF(COUNT(C5:C9)&lt;5,"",SLOPE(C5:C9,B5:B9))</f>
        <v>191.21426202321726</v>
      </c>
      <c r="H4" s="22" t="s">
        <v>32</v>
      </c>
      <c r="I4" s="23">
        <v>0</v>
      </c>
      <c r="J4" s="26">
        <v>337.34</v>
      </c>
      <c r="L4" s="22" t="s">
        <v>33</v>
      </c>
      <c r="M4" s="25">
        <f>IF(COUNT(J5:J9)&lt;5,"",SLOPE(J5:J9,I5:I9))</f>
        <v>226.75364842454394</v>
      </c>
      <c r="P4" s="22" t="s">
        <v>32</v>
      </c>
      <c r="Q4" s="23">
        <v>0</v>
      </c>
      <c r="R4" s="27">
        <v>337.34</v>
      </c>
      <c r="T4" s="22" t="s">
        <v>33</v>
      </c>
      <c r="U4" s="25">
        <f>IF(COUNT(R5:R9)&lt;5,"",SLOPE(R5:R9,Q5:Q9))</f>
        <v>104.65117744610284</v>
      </c>
    </row>
    <row r="5" spans="1:21">
      <c r="A5" s="28" t="s">
        <v>0</v>
      </c>
      <c r="B5" s="29">
        <v>1</v>
      </c>
      <c r="C5" s="24">
        <v>210</v>
      </c>
      <c r="E5" s="28" t="s">
        <v>34</v>
      </c>
      <c r="F5" s="30">
        <f>IF(COUNT(C5:C9)&lt;5,"",INTERCEPT(C5:C9,B5:B9))</f>
        <v>-2.1583913764509361</v>
      </c>
      <c r="H5" s="28" t="s">
        <v>0</v>
      </c>
      <c r="I5" s="29">
        <v>1</v>
      </c>
      <c r="J5" s="26">
        <v>235.01</v>
      </c>
      <c r="L5" s="28" t="s">
        <v>34</v>
      </c>
      <c r="M5" s="30">
        <f>IF(COUNT(J5:J9)&lt;5,"",INTERCEPT(J5:J9,I5:I9))</f>
        <v>-16.147728026533514</v>
      </c>
      <c r="P5" s="28" t="s">
        <v>0</v>
      </c>
      <c r="Q5" s="29">
        <v>1</v>
      </c>
      <c r="R5" s="27">
        <v>67.900000000000006</v>
      </c>
      <c r="T5" s="28" t="s">
        <v>34</v>
      </c>
      <c r="U5" s="30">
        <f>IF(COUNT(R5:R9)&lt;5,"",INTERCEPT(R5:R9,Q5:Q9))</f>
        <v>-26.16694859038148</v>
      </c>
    </row>
    <row r="6" spans="1:21">
      <c r="A6" s="28" t="s">
        <v>1</v>
      </c>
      <c r="B6" s="29">
        <v>2</v>
      </c>
      <c r="C6" s="24">
        <v>391.07</v>
      </c>
      <c r="E6" s="28" t="s">
        <v>2</v>
      </c>
      <c r="F6" s="30">
        <f>IF(COUNT(C5:C9)&lt;5,"",RSQ(C5:C9,B5:B9))</f>
        <v>0.99973799725033219</v>
      </c>
      <c r="H6" s="28" t="s">
        <v>1</v>
      </c>
      <c r="I6" s="29">
        <v>2</v>
      </c>
      <c r="J6" s="26">
        <v>463.58</v>
      </c>
      <c r="L6" s="28" t="s">
        <v>2</v>
      </c>
      <c r="M6" s="30">
        <f>IF(COUNT(J5:J9)&lt;5,"",RSQ(J5:J9,I5:I9))</f>
        <v>0.99951179641132071</v>
      </c>
      <c r="P6" s="28" t="s">
        <v>1</v>
      </c>
      <c r="Q6" s="29">
        <v>2</v>
      </c>
      <c r="R6" s="27">
        <v>165.14</v>
      </c>
      <c r="T6" s="28" t="s">
        <v>2</v>
      </c>
      <c r="U6" s="30">
        <f>IF(COUNT(R5:R9)&lt;5,"",RSQ(R5:R9,Q5:Q9))</f>
        <v>0.99946515928651525</v>
      </c>
    </row>
    <row r="7" spans="1:21">
      <c r="A7" s="28" t="s">
        <v>3</v>
      </c>
      <c r="B7" s="29">
        <v>5</v>
      </c>
      <c r="C7" s="24">
        <v>936.54</v>
      </c>
      <c r="E7" s="28" t="s">
        <v>35</v>
      </c>
      <c r="F7" s="30">
        <v>6</v>
      </c>
      <c r="H7" s="28" t="s">
        <v>3</v>
      </c>
      <c r="I7" s="29">
        <v>5</v>
      </c>
      <c r="J7" s="26">
        <v>1093.1500000000001</v>
      </c>
      <c r="L7" s="28" t="s">
        <v>35</v>
      </c>
      <c r="M7" s="30">
        <v>6</v>
      </c>
      <c r="P7" s="28" t="s">
        <v>3</v>
      </c>
      <c r="Q7" s="29">
        <v>5</v>
      </c>
      <c r="R7" s="27">
        <v>523.22</v>
      </c>
      <c r="T7" s="28" t="s">
        <v>35</v>
      </c>
      <c r="U7" s="30">
        <v>6</v>
      </c>
    </row>
    <row r="8" spans="1:21">
      <c r="A8" s="28" t="s">
        <v>4</v>
      </c>
      <c r="B8" s="29">
        <v>10</v>
      </c>
      <c r="C8" s="24">
        <v>1876.81</v>
      </c>
      <c r="E8" s="28" t="s">
        <v>36</v>
      </c>
      <c r="F8" s="30">
        <v>600</v>
      </c>
      <c r="H8" s="28" t="s">
        <v>4</v>
      </c>
      <c r="I8" s="29">
        <v>10</v>
      </c>
      <c r="J8" s="26">
        <v>2194.5300000000002</v>
      </c>
      <c r="L8" s="28" t="s">
        <v>36</v>
      </c>
      <c r="M8" s="30">
        <v>600</v>
      </c>
      <c r="P8" s="28" t="s">
        <v>4</v>
      </c>
      <c r="Q8" s="29">
        <v>10</v>
      </c>
      <c r="R8" s="27">
        <v>1033.6500000000001</v>
      </c>
      <c r="T8" s="28" t="s">
        <v>36</v>
      </c>
      <c r="U8" s="30">
        <v>600</v>
      </c>
    </row>
    <row r="9" spans="1:21">
      <c r="A9" s="31" t="s">
        <v>5</v>
      </c>
      <c r="B9" s="32">
        <v>20</v>
      </c>
      <c r="C9" s="24">
        <v>3840.93</v>
      </c>
      <c r="E9" s="31" t="s">
        <v>37</v>
      </c>
      <c r="F9" s="59" t="s">
        <v>66</v>
      </c>
      <c r="H9" s="31" t="s">
        <v>5</v>
      </c>
      <c r="I9" s="32">
        <v>20</v>
      </c>
      <c r="J9" s="26">
        <v>4549.63</v>
      </c>
      <c r="L9" s="31" t="s">
        <v>37</v>
      </c>
      <c r="M9" s="59" t="s">
        <v>66</v>
      </c>
      <c r="P9" s="31" t="s">
        <v>5</v>
      </c>
      <c r="Q9" s="32">
        <v>20</v>
      </c>
      <c r="R9" s="27">
        <v>2056</v>
      </c>
      <c r="T9" s="31" t="s">
        <v>37</v>
      </c>
      <c r="U9" s="33" t="s">
        <v>38</v>
      </c>
    </row>
    <row r="11" spans="1:21" ht="14.65" customHeight="1">
      <c r="A11" s="34" t="s">
        <v>39</v>
      </c>
      <c r="B11" s="35" t="s">
        <v>40</v>
      </c>
      <c r="C11" s="35" t="s">
        <v>41</v>
      </c>
      <c r="D11" s="35" t="s">
        <v>42</v>
      </c>
      <c r="E11" s="35" t="s">
        <v>43</v>
      </c>
      <c r="F11" s="35" t="s">
        <v>44</v>
      </c>
      <c r="G11" s="35" t="s">
        <v>45</v>
      </c>
      <c r="H11" s="35" t="s">
        <v>46</v>
      </c>
      <c r="I11" s="35" t="s">
        <v>47</v>
      </c>
      <c r="J11" s="36"/>
    </row>
    <row r="12" spans="1:21">
      <c r="A12" s="22" t="s">
        <v>48</v>
      </c>
      <c r="B12" s="37">
        <v>4</v>
      </c>
      <c r="C12" s="37"/>
      <c r="D12" s="38" t="str">
        <f t="shared" ref="D12:D43" si="0">IF(C12="","",(C12-$F$5)/$F$4)</f>
        <v/>
      </c>
      <c r="E12" s="38" t="str">
        <f>IF($E$17="","",$E$17)</f>
        <v/>
      </c>
      <c r="F12" s="38" t="str">
        <f t="shared" ref="F12:F43" si="1">IF(D12="","",D12*E12)</f>
        <v/>
      </c>
      <c r="G12" s="38" t="str">
        <f>IF(F12="","",F12*$F$8/1000)</f>
        <v/>
      </c>
      <c r="H12" s="39" t="str">
        <f>IF(G12="","",G12/$F$7*100)</f>
        <v/>
      </c>
      <c r="I12" s="39" t="str">
        <f>IF(H12="","",100-H12)</f>
        <v/>
      </c>
      <c r="J12" s="40"/>
    </row>
    <row r="13" spans="1:21">
      <c r="A13" s="28" t="s">
        <v>48</v>
      </c>
      <c r="B13" s="41">
        <v>5</v>
      </c>
      <c r="C13" s="41"/>
      <c r="D13" s="42" t="str">
        <f t="shared" si="0"/>
        <v/>
      </c>
      <c r="E13" s="42" t="str">
        <f>IF($E$17="","",$E$17)</f>
        <v/>
      </c>
      <c r="F13" s="42" t="str">
        <f t="shared" si="1"/>
        <v/>
      </c>
      <c r="G13" s="42" t="str">
        <f>IF(F13="","",F13*$F$8/1000)</f>
        <v/>
      </c>
      <c r="H13" s="43" t="str">
        <f>IF(G13="","",G13/$F$7*100)</f>
        <v/>
      </c>
      <c r="I13" s="43" t="str">
        <f>IF(H13="","",100-H13)</f>
        <v/>
      </c>
      <c r="J13" s="44"/>
    </row>
    <row r="14" spans="1:21">
      <c r="A14" s="28" t="s">
        <v>48</v>
      </c>
      <c r="B14" s="41">
        <v>6</v>
      </c>
      <c r="C14" s="41"/>
      <c r="D14" s="42" t="str">
        <f t="shared" si="0"/>
        <v/>
      </c>
      <c r="E14" s="42" t="str">
        <f>IF($E$17="","",$E$17)</f>
        <v/>
      </c>
      <c r="F14" s="42" t="str">
        <f t="shared" si="1"/>
        <v/>
      </c>
      <c r="G14" s="42" t="str">
        <f>IF(F14="","",F14*$F$8/1000)</f>
        <v/>
      </c>
      <c r="H14" s="43" t="str">
        <f>IF(G14="","",G14/$F$7*100)</f>
        <v/>
      </c>
      <c r="I14" s="43" t="str">
        <f>IF(H14="","",100-H14)</f>
        <v/>
      </c>
      <c r="J14" s="44"/>
    </row>
    <row r="15" spans="1:21">
      <c r="A15" s="28" t="s">
        <v>48</v>
      </c>
      <c r="B15" s="41">
        <v>7</v>
      </c>
      <c r="C15" s="41"/>
      <c r="D15" s="42" t="str">
        <f t="shared" si="0"/>
        <v/>
      </c>
      <c r="E15" s="42" t="str">
        <f>IF($E$17="","",$E$17)</f>
        <v/>
      </c>
      <c r="F15" s="42" t="str">
        <f t="shared" si="1"/>
        <v/>
      </c>
      <c r="G15" s="42" t="str">
        <f>IF(F15="","",F15*$F$8/1000)</f>
        <v/>
      </c>
      <c r="H15" s="43" t="str">
        <f>IF(G15="","",G15/$F$7*100)</f>
        <v/>
      </c>
      <c r="I15" s="43" t="str">
        <f>IF(H15="","",100-H15)</f>
        <v/>
      </c>
      <c r="J15" s="44"/>
    </row>
    <row r="16" spans="1:21">
      <c r="A16" s="28" t="s">
        <v>48</v>
      </c>
      <c r="B16" s="41">
        <v>8</v>
      </c>
      <c r="C16" s="41"/>
      <c r="D16" s="42" t="str">
        <f t="shared" si="0"/>
        <v/>
      </c>
      <c r="E16" s="42" t="str">
        <f>IF($E$17="","",$E$17)</f>
        <v/>
      </c>
      <c r="F16" s="42" t="str">
        <f t="shared" si="1"/>
        <v/>
      </c>
      <c r="G16" s="42" t="str">
        <f>IF(F16="","",F16*$F$8/1000)</f>
        <v/>
      </c>
      <c r="H16" s="43" t="str">
        <f>IF(G16="","",G16/$F$7*100)</f>
        <v/>
      </c>
      <c r="I16" s="43" t="str">
        <f>IF(H16="","",100-H16)</f>
        <v/>
      </c>
      <c r="J16" s="44"/>
    </row>
    <row r="17" spans="1:10">
      <c r="A17" s="45" t="s">
        <v>49</v>
      </c>
      <c r="B17" s="46"/>
      <c r="C17" s="46"/>
      <c r="D17" s="47" t="str">
        <f t="shared" si="0"/>
        <v/>
      </c>
      <c r="E17" s="47" t="str">
        <f>IF(D17="","",VALUE(LEFT(A17,FIND(" ",A17)-1))/D17)</f>
        <v/>
      </c>
      <c r="F17" s="47" t="str">
        <f t="shared" si="1"/>
        <v/>
      </c>
      <c r="G17" s="47"/>
      <c r="H17" s="48"/>
      <c r="I17" s="48"/>
      <c r="J17" s="49"/>
    </row>
    <row r="18" spans="1:10">
      <c r="A18" s="28" t="s">
        <v>48</v>
      </c>
      <c r="B18" s="41">
        <v>9</v>
      </c>
      <c r="C18" s="41"/>
      <c r="D18" s="42" t="str">
        <f t="shared" si="0"/>
        <v/>
      </c>
      <c r="E18" s="42" t="str">
        <f>IF($E$23="","",$E$23)</f>
        <v/>
      </c>
      <c r="F18" s="42" t="str">
        <f t="shared" si="1"/>
        <v/>
      </c>
      <c r="G18" s="42" t="str">
        <f>IF(F18="","",F18*$F$8/1000)</f>
        <v/>
      </c>
      <c r="H18" s="43" t="str">
        <f>IF(G18="","",G18/$F$7*100)</f>
        <v/>
      </c>
      <c r="I18" s="43" t="str">
        <f>IF(H18="","",100-H18)</f>
        <v/>
      </c>
      <c r="J18" s="44"/>
    </row>
    <row r="19" spans="1:10">
      <c r="A19" s="28" t="s">
        <v>48</v>
      </c>
      <c r="B19" s="41">
        <v>10</v>
      </c>
      <c r="C19" s="41"/>
      <c r="D19" s="42" t="str">
        <f t="shared" si="0"/>
        <v/>
      </c>
      <c r="E19" s="42" t="str">
        <f>IF($E$23="","",$E$23)</f>
        <v/>
      </c>
      <c r="F19" s="42" t="str">
        <f t="shared" si="1"/>
        <v/>
      </c>
      <c r="G19" s="42" t="str">
        <f>IF(F19="","",F19*$F$8/1000)</f>
        <v/>
      </c>
      <c r="H19" s="43" t="str">
        <f>IF(G19="","",G19/$F$7*100)</f>
        <v/>
      </c>
      <c r="I19" s="43" t="str">
        <f>IF(H19="","",100-H19)</f>
        <v/>
      </c>
      <c r="J19" s="44"/>
    </row>
    <row r="20" spans="1:10">
      <c r="A20" s="28" t="s">
        <v>48</v>
      </c>
      <c r="B20" s="41"/>
      <c r="C20" s="41"/>
      <c r="D20" s="42" t="str">
        <f t="shared" si="0"/>
        <v/>
      </c>
      <c r="E20" s="42" t="str">
        <f>IF($E$23="","",$E$23)</f>
        <v/>
      </c>
      <c r="F20" s="42" t="str">
        <f t="shared" si="1"/>
        <v/>
      </c>
      <c r="G20" s="42" t="str">
        <f>IF(F20="","",F20*$F$8/1000)</f>
        <v/>
      </c>
      <c r="H20" s="43" t="str">
        <f>IF(G20="","",G20/$F$7*100)</f>
        <v/>
      </c>
      <c r="I20" s="43" t="str">
        <f>IF(H20="","",100-H20)</f>
        <v/>
      </c>
      <c r="J20" s="44"/>
    </row>
    <row r="21" spans="1:10">
      <c r="A21" s="28" t="s">
        <v>50</v>
      </c>
      <c r="B21" s="41">
        <v>4</v>
      </c>
      <c r="C21" s="41"/>
      <c r="D21" s="42" t="str">
        <f t="shared" si="0"/>
        <v/>
      </c>
      <c r="E21" s="42" t="str">
        <f>IF($E$23="","",$E$23)</f>
        <v/>
      </c>
      <c r="F21" s="42" t="str">
        <f t="shared" si="1"/>
        <v/>
      </c>
      <c r="G21" s="42" t="str">
        <f>IF(F21="","",F21*$F$8/1000)</f>
        <v/>
      </c>
      <c r="H21" s="43" t="str">
        <f>IF(G21="","",G21/$F$7*100)</f>
        <v/>
      </c>
      <c r="I21" s="43" t="str">
        <f>IF(H21="","",100-H21)</f>
        <v/>
      </c>
      <c r="J21" s="44"/>
    </row>
    <row r="22" spans="1:10">
      <c r="A22" s="28" t="s">
        <v>50</v>
      </c>
      <c r="B22" s="41">
        <v>5</v>
      </c>
      <c r="C22" s="41"/>
      <c r="D22" s="42" t="str">
        <f t="shared" si="0"/>
        <v/>
      </c>
      <c r="E22" s="42" t="str">
        <f>IF($E$23="","",$E$23)</f>
        <v/>
      </c>
      <c r="F22" s="42" t="str">
        <f t="shared" si="1"/>
        <v/>
      </c>
      <c r="G22" s="42" t="str">
        <f>IF(F22="","",F22*$F$8/1000)</f>
        <v/>
      </c>
      <c r="H22" s="43" t="str">
        <f>IF(G22="","",G22/$F$7*100)</f>
        <v/>
      </c>
      <c r="I22" s="43" t="str">
        <f>IF(H22="","",100-H22)</f>
        <v/>
      </c>
      <c r="J22" s="44"/>
    </row>
    <row r="23" spans="1:10">
      <c r="A23" s="45" t="s">
        <v>49</v>
      </c>
      <c r="B23" s="46"/>
      <c r="C23" s="46"/>
      <c r="D23" s="47" t="str">
        <f t="shared" si="0"/>
        <v/>
      </c>
      <c r="E23" s="47" t="str">
        <f>IF(D23="","",VALUE(LEFT(A23,FIND(" ",A23)-1))/D23)</f>
        <v/>
      </c>
      <c r="F23" s="47" t="str">
        <f t="shared" si="1"/>
        <v/>
      </c>
      <c r="G23" s="47"/>
      <c r="H23" s="48"/>
      <c r="I23" s="48"/>
      <c r="J23" s="49"/>
    </row>
    <row r="24" spans="1:10">
      <c r="A24" s="28" t="s">
        <v>50</v>
      </c>
      <c r="B24" s="41">
        <v>6</v>
      </c>
      <c r="C24" s="41"/>
      <c r="D24" s="42" t="str">
        <f t="shared" si="0"/>
        <v/>
      </c>
      <c r="E24" s="42" t="str">
        <f>IF($E$29="","",$E$29)</f>
        <v/>
      </c>
      <c r="F24" s="42" t="str">
        <f t="shared" si="1"/>
        <v/>
      </c>
      <c r="G24" s="42" t="str">
        <f>IF(F24="","",F24*$F$8/1000)</f>
        <v/>
      </c>
      <c r="H24" s="43" t="str">
        <f>IF(G24="","",G24/$F$7*100)</f>
        <v/>
      </c>
      <c r="I24" s="43" t="str">
        <f>IF(H24="","",100-H24)</f>
        <v/>
      </c>
      <c r="J24" s="44"/>
    </row>
    <row r="25" spans="1:10">
      <c r="A25" s="28" t="s">
        <v>50</v>
      </c>
      <c r="B25" s="41">
        <v>7</v>
      </c>
      <c r="C25" s="41"/>
      <c r="D25" s="42" t="str">
        <f t="shared" si="0"/>
        <v/>
      </c>
      <c r="E25" s="42" t="str">
        <f>IF($E$29="","",$E$29)</f>
        <v/>
      </c>
      <c r="F25" s="42" t="str">
        <f t="shared" si="1"/>
        <v/>
      </c>
      <c r="G25" s="42" t="str">
        <f>IF(F25="","",F25*$F$8/1000)</f>
        <v/>
      </c>
      <c r="H25" s="43" t="str">
        <f>IF(G25="","",G25/$F$7*100)</f>
        <v/>
      </c>
      <c r="I25" s="43" t="str">
        <f>IF(H25="","",100-H25)</f>
        <v/>
      </c>
      <c r="J25" s="44"/>
    </row>
    <row r="26" spans="1:10">
      <c r="A26" s="28" t="s">
        <v>50</v>
      </c>
      <c r="B26" s="41">
        <v>8</v>
      </c>
      <c r="C26" s="41"/>
      <c r="D26" s="42" t="str">
        <f t="shared" si="0"/>
        <v/>
      </c>
      <c r="E26" s="42" t="str">
        <f>IF($E$29="","",$E$29)</f>
        <v/>
      </c>
      <c r="F26" s="42" t="str">
        <f t="shared" si="1"/>
        <v/>
      </c>
      <c r="G26" s="42" t="str">
        <f>IF(F26="","",F26*$F$8/1000)</f>
        <v/>
      </c>
      <c r="H26" s="43" t="str">
        <f>IF(G26="","",G26/$F$7*100)</f>
        <v/>
      </c>
      <c r="I26" s="43" t="str">
        <f>IF(H26="","",100-H26)</f>
        <v/>
      </c>
      <c r="J26" s="44"/>
    </row>
    <row r="27" spans="1:10">
      <c r="A27" s="28" t="s">
        <v>50</v>
      </c>
      <c r="B27" s="41">
        <v>9</v>
      </c>
      <c r="C27" s="41"/>
      <c r="D27" s="42" t="str">
        <f t="shared" si="0"/>
        <v/>
      </c>
      <c r="E27" s="42" t="str">
        <f>IF($E$29="","",$E$29)</f>
        <v/>
      </c>
      <c r="F27" s="42" t="str">
        <f t="shared" si="1"/>
        <v/>
      </c>
      <c r="G27" s="42" t="str">
        <f>IF(F27="","",F27*$F$8/1000)</f>
        <v/>
      </c>
      <c r="H27" s="43" t="str">
        <f>IF(G27="","",G27/$F$7*100)</f>
        <v/>
      </c>
      <c r="I27" s="43" t="str">
        <f>IF(H27="","",100-H27)</f>
        <v/>
      </c>
      <c r="J27" s="44"/>
    </row>
    <row r="28" spans="1:10">
      <c r="A28" s="28" t="s">
        <v>50</v>
      </c>
      <c r="B28" s="41">
        <v>10</v>
      </c>
      <c r="C28" s="41"/>
      <c r="D28" s="42" t="str">
        <f t="shared" si="0"/>
        <v/>
      </c>
      <c r="E28" s="42" t="str">
        <f>IF($E$29="","",$E$29)</f>
        <v/>
      </c>
      <c r="F28" s="42" t="str">
        <f t="shared" si="1"/>
        <v/>
      </c>
      <c r="G28" s="42" t="str">
        <f>IF(F28="","",F28*$F$8/1000)</f>
        <v/>
      </c>
      <c r="H28" s="43" t="str">
        <f>IF(G28="","",G28/$F$7*100)</f>
        <v/>
      </c>
      <c r="I28" s="43" t="str">
        <f>IF(H28="","",100-H28)</f>
        <v/>
      </c>
      <c r="J28" s="44"/>
    </row>
    <row r="29" spans="1:10">
      <c r="A29" s="45" t="s">
        <v>49</v>
      </c>
      <c r="B29" s="46"/>
      <c r="C29" s="46"/>
      <c r="D29" s="47" t="str">
        <f t="shared" si="0"/>
        <v/>
      </c>
      <c r="E29" s="47" t="str">
        <f>IF(D29="","",VALUE(LEFT(A29,FIND(" ",A29)-1))/D29)</f>
        <v/>
      </c>
      <c r="F29" s="47" t="str">
        <f t="shared" si="1"/>
        <v/>
      </c>
      <c r="G29" s="47"/>
      <c r="H29" s="48"/>
      <c r="I29" s="48"/>
      <c r="J29" s="49"/>
    </row>
    <row r="30" spans="1:10">
      <c r="A30" s="28" t="s">
        <v>50</v>
      </c>
      <c r="B30" s="41"/>
      <c r="C30" s="41"/>
      <c r="D30" s="42" t="str">
        <f t="shared" si="0"/>
        <v/>
      </c>
      <c r="E30" s="42" t="str">
        <f>IF($E$35="","",$E$35)</f>
        <v/>
      </c>
      <c r="F30" s="42" t="str">
        <f t="shared" si="1"/>
        <v/>
      </c>
      <c r="G30" s="42" t="str">
        <f>IF(F30="","",F30*$F$8/1000)</f>
        <v/>
      </c>
      <c r="H30" s="43" t="str">
        <f>IF(G30="","",G30/$F$7*100)</f>
        <v/>
      </c>
      <c r="I30" s="43" t="str">
        <f>IF(H30="","",100-H30)</f>
        <v/>
      </c>
      <c r="J30" s="44"/>
    </row>
    <row r="31" spans="1:10">
      <c r="A31" s="28" t="s">
        <v>51</v>
      </c>
      <c r="B31" s="41">
        <v>4</v>
      </c>
      <c r="C31" s="41"/>
      <c r="D31" s="42" t="str">
        <f t="shared" si="0"/>
        <v/>
      </c>
      <c r="E31" s="42" t="str">
        <f>IF($E$35="","",$E$35)</f>
        <v/>
      </c>
      <c r="F31" s="42" t="str">
        <f t="shared" si="1"/>
        <v/>
      </c>
      <c r="G31" s="42" t="str">
        <f>IF(F31="","",F31*$F$8/1000)</f>
        <v/>
      </c>
      <c r="H31" s="43" t="str">
        <f>IF(G31="","",G31/$F$7*100)</f>
        <v/>
      </c>
      <c r="I31" s="43" t="str">
        <f>IF(H31="","",100-H31)</f>
        <v/>
      </c>
      <c r="J31" s="44"/>
    </row>
    <row r="32" spans="1:10">
      <c r="A32" s="28" t="s">
        <v>51</v>
      </c>
      <c r="B32" s="41">
        <v>5</v>
      </c>
      <c r="C32" s="41"/>
      <c r="D32" s="42" t="str">
        <f t="shared" si="0"/>
        <v/>
      </c>
      <c r="E32" s="42" t="str">
        <f>IF($E$35="","",$E$35)</f>
        <v/>
      </c>
      <c r="F32" s="42" t="str">
        <f t="shared" si="1"/>
        <v/>
      </c>
      <c r="G32" s="42" t="str">
        <f>IF(F32="","",F32*$F$8/1000)</f>
        <v/>
      </c>
      <c r="H32" s="43" t="str">
        <f>IF(G32="","",G32/$F$7*100)</f>
        <v/>
      </c>
      <c r="I32" s="43" t="str">
        <f>IF(H32="","",100-H32)</f>
        <v/>
      </c>
      <c r="J32" s="44"/>
    </row>
    <row r="33" spans="1:10">
      <c r="A33" s="28" t="s">
        <v>51</v>
      </c>
      <c r="B33" s="41">
        <v>6</v>
      </c>
      <c r="C33" s="41"/>
      <c r="D33" s="42" t="str">
        <f t="shared" si="0"/>
        <v/>
      </c>
      <c r="E33" s="42" t="str">
        <f>IF($E$35="","",$E$35)</f>
        <v/>
      </c>
      <c r="F33" s="42" t="str">
        <f t="shared" si="1"/>
        <v/>
      </c>
      <c r="G33" s="42" t="str">
        <f>IF(F33="","",F33*$F$8/1000)</f>
        <v/>
      </c>
      <c r="H33" s="43" t="str">
        <f>IF(G33="","",G33/$F$7*100)</f>
        <v/>
      </c>
      <c r="I33" s="43" t="str">
        <f>IF(H33="","",100-H33)</f>
        <v/>
      </c>
      <c r="J33" s="44"/>
    </row>
    <row r="34" spans="1:10">
      <c r="A34" s="28" t="s">
        <v>51</v>
      </c>
      <c r="B34" s="41">
        <v>7</v>
      </c>
      <c r="C34" s="41"/>
      <c r="D34" s="42" t="str">
        <f t="shared" si="0"/>
        <v/>
      </c>
      <c r="E34" s="42" t="str">
        <f>IF($E$35="","",$E$35)</f>
        <v/>
      </c>
      <c r="F34" s="42" t="str">
        <f t="shared" si="1"/>
        <v/>
      </c>
      <c r="G34" s="42" t="str">
        <f>IF(F34="","",F34*$F$8/1000)</f>
        <v/>
      </c>
      <c r="H34" s="43" t="str">
        <f>IF(G34="","",G34/$F$7*100)</f>
        <v/>
      </c>
      <c r="I34" s="43" t="str">
        <f>IF(H34="","",100-H34)</f>
        <v/>
      </c>
      <c r="J34" s="44"/>
    </row>
    <row r="35" spans="1:10">
      <c r="A35" s="45" t="s">
        <v>49</v>
      </c>
      <c r="B35" s="46"/>
      <c r="C35" s="46"/>
      <c r="D35" s="47" t="str">
        <f t="shared" si="0"/>
        <v/>
      </c>
      <c r="E35" s="47" t="str">
        <f>IF(D35="","",VALUE(LEFT(A35,FIND(" ",A35)-1))/D35)</f>
        <v/>
      </c>
      <c r="F35" s="47" t="str">
        <f t="shared" si="1"/>
        <v/>
      </c>
      <c r="G35" s="47"/>
      <c r="H35" s="48"/>
      <c r="I35" s="48"/>
      <c r="J35" s="49"/>
    </row>
    <row r="36" spans="1:10">
      <c r="A36" s="28" t="s">
        <v>51</v>
      </c>
      <c r="B36" s="41">
        <v>8</v>
      </c>
      <c r="C36" s="41"/>
      <c r="D36" s="42" t="str">
        <f t="shared" si="0"/>
        <v/>
      </c>
      <c r="E36" s="42" t="str">
        <f>IF($E$41="","",$E$41)</f>
        <v/>
      </c>
      <c r="F36" s="42" t="str">
        <f t="shared" si="1"/>
        <v/>
      </c>
      <c r="G36" s="42" t="str">
        <f>IF(F36="","",F36*$F$8/1000)</f>
        <v/>
      </c>
      <c r="H36" s="43" t="str">
        <f>IF(G36="","",G36/$F$7*100)</f>
        <v/>
      </c>
      <c r="I36" s="43" t="str">
        <f>IF(H36="","",100-H36)</f>
        <v/>
      </c>
      <c r="J36" s="44"/>
    </row>
    <row r="37" spans="1:10">
      <c r="A37" s="28" t="s">
        <v>51</v>
      </c>
      <c r="B37" s="41">
        <v>9</v>
      </c>
      <c r="C37" s="41"/>
      <c r="D37" s="42" t="str">
        <f t="shared" si="0"/>
        <v/>
      </c>
      <c r="E37" s="42" t="str">
        <f>IF($E$41="","",$E$41)</f>
        <v/>
      </c>
      <c r="F37" s="42" t="str">
        <f t="shared" si="1"/>
        <v/>
      </c>
      <c r="G37" s="42" t="str">
        <f>IF(F37="","",F37*$F$8/1000)</f>
        <v/>
      </c>
      <c r="H37" s="43" t="str">
        <f>IF(G37="","",G37/$F$7*100)</f>
        <v/>
      </c>
      <c r="I37" s="43" t="str">
        <f>IF(H37="","",100-H37)</f>
        <v/>
      </c>
      <c r="J37" s="44"/>
    </row>
    <row r="38" spans="1:10">
      <c r="A38" s="28" t="s">
        <v>51</v>
      </c>
      <c r="B38" s="41">
        <v>10</v>
      </c>
      <c r="C38" s="41"/>
      <c r="D38" s="42" t="str">
        <f t="shared" si="0"/>
        <v/>
      </c>
      <c r="E38" s="42" t="str">
        <f>IF($E$41="","",$E$41)</f>
        <v/>
      </c>
      <c r="F38" s="42" t="str">
        <f t="shared" si="1"/>
        <v/>
      </c>
      <c r="G38" s="42" t="str">
        <f>IF(F38="","",F38*$F$8/1000)</f>
        <v/>
      </c>
      <c r="H38" s="43" t="str">
        <f>IF(G38="","",G38/$F$7*100)</f>
        <v/>
      </c>
      <c r="I38" s="43" t="str">
        <f>IF(H38="","",100-H38)</f>
        <v/>
      </c>
      <c r="J38" s="44"/>
    </row>
    <row r="39" spans="1:10">
      <c r="A39" s="28" t="s">
        <v>51</v>
      </c>
      <c r="B39" s="41"/>
      <c r="C39" s="41"/>
      <c r="D39" s="42" t="str">
        <f t="shared" si="0"/>
        <v/>
      </c>
      <c r="E39" s="42" t="str">
        <f>IF($E$41="","",$E$41)</f>
        <v/>
      </c>
      <c r="F39" s="42" t="str">
        <f t="shared" si="1"/>
        <v/>
      </c>
      <c r="G39" s="42" t="str">
        <f>IF(F39="","",F39*$F$8/1000)</f>
        <v/>
      </c>
      <c r="H39" s="43" t="str">
        <f>IF(G39="","",G39/$F$7*100)</f>
        <v/>
      </c>
      <c r="I39" s="43" t="str">
        <f>IF(H39="","",100-H39)</f>
        <v/>
      </c>
      <c r="J39" s="44"/>
    </row>
    <row r="40" spans="1:10">
      <c r="A40" s="28" t="s">
        <v>52</v>
      </c>
      <c r="B40" s="41">
        <v>4</v>
      </c>
      <c r="C40" s="41"/>
      <c r="D40" s="42" t="str">
        <f t="shared" si="0"/>
        <v/>
      </c>
      <c r="E40" s="42" t="str">
        <f>IF($E$41="","",$E$41)</f>
        <v/>
      </c>
      <c r="F40" s="42" t="str">
        <f t="shared" si="1"/>
        <v/>
      </c>
      <c r="G40" s="42" t="str">
        <f>IF(F40="","",F40*$F$8/1000)</f>
        <v/>
      </c>
      <c r="H40" s="43" t="str">
        <f>IF(G40="","",G40/$F$7*100)</f>
        <v/>
      </c>
      <c r="I40" s="43" t="str">
        <f>IF(H40="","",100-H40)</f>
        <v/>
      </c>
      <c r="J40" s="44"/>
    </row>
    <row r="41" spans="1:10">
      <c r="A41" s="45" t="s">
        <v>49</v>
      </c>
      <c r="B41" s="46"/>
      <c r="C41" s="46"/>
      <c r="D41" s="47" t="str">
        <f t="shared" si="0"/>
        <v/>
      </c>
      <c r="E41" s="47" t="str">
        <f>IF(D41="","",VALUE(LEFT(A41,FIND(" ",A41)-1))/D41)</f>
        <v/>
      </c>
      <c r="F41" s="47" t="str">
        <f t="shared" si="1"/>
        <v/>
      </c>
      <c r="G41" s="47"/>
      <c r="H41" s="48"/>
      <c r="I41" s="48"/>
      <c r="J41" s="49"/>
    </row>
    <row r="42" spans="1:10">
      <c r="A42" s="28" t="s">
        <v>52</v>
      </c>
      <c r="B42" s="41">
        <v>5</v>
      </c>
      <c r="C42" s="41"/>
      <c r="D42" s="42" t="str">
        <f t="shared" si="0"/>
        <v/>
      </c>
      <c r="E42" s="42" t="str">
        <f>IF($E$47="","",$E$47)</f>
        <v/>
      </c>
      <c r="F42" s="42" t="str">
        <f t="shared" si="1"/>
        <v/>
      </c>
      <c r="G42" s="42" t="str">
        <f>IF(F42="","",F42*$F$8/1000)</f>
        <v/>
      </c>
      <c r="H42" s="43" t="str">
        <f>IF(G42="","",G42/$F$7*100)</f>
        <v/>
      </c>
      <c r="I42" s="43" t="str">
        <f>IF(H42="","",100-H42)</f>
        <v/>
      </c>
      <c r="J42" s="44"/>
    </row>
    <row r="43" spans="1:10">
      <c r="A43" s="28" t="s">
        <v>52</v>
      </c>
      <c r="B43" s="41">
        <v>6</v>
      </c>
      <c r="C43" s="41"/>
      <c r="D43" s="42" t="str">
        <f t="shared" si="0"/>
        <v/>
      </c>
      <c r="E43" s="42" t="str">
        <f>IF($E$47="","",$E$47)</f>
        <v/>
      </c>
      <c r="F43" s="42" t="str">
        <f t="shared" si="1"/>
        <v/>
      </c>
      <c r="G43" s="42" t="str">
        <f>IF(F43="","",F43*$F$8/1000)</f>
        <v/>
      </c>
      <c r="H43" s="43" t="str">
        <f>IF(G43="","",G43/$F$7*100)</f>
        <v/>
      </c>
      <c r="I43" s="43" t="str">
        <f>IF(H43="","",100-H43)</f>
        <v/>
      </c>
      <c r="J43" s="44"/>
    </row>
    <row r="44" spans="1:10">
      <c r="A44" s="28" t="s">
        <v>52</v>
      </c>
      <c r="B44" s="41">
        <v>7</v>
      </c>
      <c r="C44" s="41"/>
      <c r="D44" s="42" t="str">
        <f t="shared" ref="D44:D68" si="2">IF(C44="","",(C44-$F$5)/$F$4)</f>
        <v/>
      </c>
      <c r="E44" s="42" t="str">
        <f>IF($E$47="","",$E$47)</f>
        <v/>
      </c>
      <c r="F44" s="42" t="str">
        <f t="shared" ref="F44:F75" si="3">IF(D44="","",D44*E44)</f>
        <v/>
      </c>
      <c r="G44" s="42" t="str">
        <f>IF(F44="","",F44*$F$8/1000)</f>
        <v/>
      </c>
      <c r="H44" s="43" t="str">
        <f>IF(G44="","",G44/$F$7*100)</f>
        <v/>
      </c>
      <c r="I44" s="43" t="str">
        <f>IF(H44="","",100-H44)</f>
        <v/>
      </c>
      <c r="J44" s="44"/>
    </row>
    <row r="45" spans="1:10">
      <c r="A45" s="28" t="s">
        <v>52</v>
      </c>
      <c r="B45" s="41">
        <v>8</v>
      </c>
      <c r="C45" s="41"/>
      <c r="D45" s="42" t="str">
        <f t="shared" si="2"/>
        <v/>
      </c>
      <c r="E45" s="42" t="str">
        <f>IF($E$47="","",$E$47)</f>
        <v/>
      </c>
      <c r="F45" s="42" t="str">
        <f t="shared" si="3"/>
        <v/>
      </c>
      <c r="G45" s="42" t="str">
        <f>IF(F45="","",F45*$F$8/1000)</f>
        <v/>
      </c>
      <c r="H45" s="43" t="str">
        <f>IF(G45="","",G45/$F$7*100)</f>
        <v/>
      </c>
      <c r="I45" s="43" t="str">
        <f>IF(H45="","",100-H45)</f>
        <v/>
      </c>
      <c r="J45" s="44"/>
    </row>
    <row r="46" spans="1:10">
      <c r="A46" s="28" t="s">
        <v>52</v>
      </c>
      <c r="B46" s="41">
        <v>9</v>
      </c>
      <c r="C46" s="41"/>
      <c r="D46" s="42" t="str">
        <f t="shared" si="2"/>
        <v/>
      </c>
      <c r="E46" s="42" t="str">
        <f>IF($E$47="","",$E$47)</f>
        <v/>
      </c>
      <c r="F46" s="42" t="str">
        <f t="shared" si="3"/>
        <v/>
      </c>
      <c r="G46" s="42" t="str">
        <f>IF(F46="","",F46*$F$8/1000)</f>
        <v/>
      </c>
      <c r="H46" s="43" t="str">
        <f>IF(G46="","",G46/$F$7*100)</f>
        <v/>
      </c>
      <c r="I46" s="43" t="str">
        <f>IF(H46="","",100-H46)</f>
        <v/>
      </c>
      <c r="J46" s="44"/>
    </row>
    <row r="47" spans="1:10">
      <c r="A47" s="45" t="s">
        <v>49</v>
      </c>
      <c r="B47" s="46"/>
      <c r="C47" s="46"/>
      <c r="D47" s="47" t="str">
        <f t="shared" si="2"/>
        <v/>
      </c>
      <c r="E47" s="47" t="str">
        <f>IF(D47="","",VALUE(LEFT(A47,FIND(" ",A47)-1))/D47)</f>
        <v/>
      </c>
      <c r="F47" s="47" t="str">
        <f t="shared" si="3"/>
        <v/>
      </c>
      <c r="G47" s="47"/>
      <c r="H47" s="48"/>
      <c r="I47" s="48"/>
      <c r="J47" s="49"/>
    </row>
    <row r="48" spans="1:10">
      <c r="A48" s="28" t="s">
        <v>52</v>
      </c>
      <c r="B48" s="41">
        <v>10</v>
      </c>
      <c r="C48" s="41"/>
      <c r="D48" s="42" t="str">
        <f t="shared" si="2"/>
        <v/>
      </c>
      <c r="E48" s="42" t="str">
        <f>IF($E$53="","",$E$53)</f>
        <v/>
      </c>
      <c r="F48" s="42" t="str">
        <f t="shared" si="3"/>
        <v/>
      </c>
      <c r="G48" s="42" t="str">
        <f>IF(F48="","",F48*$F$8/1000)</f>
        <v/>
      </c>
      <c r="H48" s="43" t="str">
        <f>IF(G48="","",G48/$F$7*100)</f>
        <v/>
      </c>
      <c r="I48" s="43" t="str">
        <f>IF(H48="","",100-H48)</f>
        <v/>
      </c>
      <c r="J48" s="44"/>
    </row>
    <row r="49" spans="1:10">
      <c r="A49" s="28" t="s">
        <v>52</v>
      </c>
      <c r="B49" s="41"/>
      <c r="C49" s="41"/>
      <c r="D49" s="42" t="str">
        <f t="shared" si="2"/>
        <v/>
      </c>
      <c r="E49" s="42" t="str">
        <f>IF($E$53="","",$E$53)</f>
        <v/>
      </c>
      <c r="F49" s="42" t="str">
        <f t="shared" si="3"/>
        <v/>
      </c>
      <c r="G49" s="42" t="str">
        <f>IF(F49="","",F49*$F$8/1000)</f>
        <v/>
      </c>
      <c r="H49" s="43" t="str">
        <f>IF(G49="","",G49/$F$7*100)</f>
        <v/>
      </c>
      <c r="I49" s="43" t="str">
        <f>IF(H49="","",100-H49)</f>
        <v/>
      </c>
      <c r="J49" s="44"/>
    </row>
    <row r="50" spans="1:10">
      <c r="A50" s="28" t="s">
        <v>53</v>
      </c>
      <c r="B50" s="41">
        <v>4</v>
      </c>
      <c r="C50" s="41"/>
      <c r="D50" s="42" t="str">
        <f t="shared" si="2"/>
        <v/>
      </c>
      <c r="E50" s="42" t="str">
        <f>IF($E$53="","",$E$53)</f>
        <v/>
      </c>
      <c r="F50" s="42" t="str">
        <f t="shared" si="3"/>
        <v/>
      </c>
      <c r="G50" s="42" t="str">
        <f>IF(F50="","",F50*$F$8/1000)</f>
        <v/>
      </c>
      <c r="H50" s="43" t="str">
        <f>IF(G50="","",G50/$F$7*100)</f>
        <v/>
      </c>
      <c r="I50" s="43" t="str">
        <f>IF(H50="","",100-H50)</f>
        <v/>
      </c>
      <c r="J50" s="44"/>
    </row>
    <row r="51" spans="1:10">
      <c r="A51" s="28" t="s">
        <v>53</v>
      </c>
      <c r="B51" s="41">
        <v>5</v>
      </c>
      <c r="C51" s="41"/>
      <c r="D51" s="42" t="str">
        <f t="shared" si="2"/>
        <v/>
      </c>
      <c r="E51" s="42" t="str">
        <f>IF($E$53="","",$E$53)</f>
        <v/>
      </c>
      <c r="F51" s="42" t="str">
        <f t="shared" si="3"/>
        <v/>
      </c>
      <c r="G51" s="42" t="str">
        <f>IF(F51="","",F51*$F$8/1000)</f>
        <v/>
      </c>
      <c r="H51" s="43" t="str">
        <f>IF(G51="","",G51/$F$7*100)</f>
        <v/>
      </c>
      <c r="I51" s="43" t="str">
        <f>IF(H51="","",100-H51)</f>
        <v/>
      </c>
      <c r="J51" s="44"/>
    </row>
    <row r="52" spans="1:10">
      <c r="A52" s="28" t="s">
        <v>53</v>
      </c>
      <c r="B52" s="41">
        <v>6</v>
      </c>
      <c r="C52" s="41"/>
      <c r="D52" s="42" t="str">
        <f t="shared" si="2"/>
        <v/>
      </c>
      <c r="E52" s="42" t="str">
        <f>IF($E$53="","",$E$53)</f>
        <v/>
      </c>
      <c r="F52" s="42" t="str">
        <f t="shared" si="3"/>
        <v/>
      </c>
      <c r="G52" s="42" t="str">
        <f>IF(F52="","",F52*$F$8/1000)</f>
        <v/>
      </c>
      <c r="H52" s="43" t="str">
        <f>IF(G52="","",G52/$F$7*100)</f>
        <v/>
      </c>
      <c r="I52" s="43" t="str">
        <f>IF(H52="","",100-H52)</f>
        <v/>
      </c>
      <c r="J52" s="44"/>
    </row>
    <row r="53" spans="1:10">
      <c r="A53" s="45" t="s">
        <v>49</v>
      </c>
      <c r="B53" s="46"/>
      <c r="C53" s="46"/>
      <c r="D53" s="47" t="str">
        <f t="shared" si="2"/>
        <v/>
      </c>
      <c r="E53" s="47" t="str">
        <f>IF(D53="","",VALUE(LEFT(A53,FIND(" ",A53)-1))/D53)</f>
        <v/>
      </c>
      <c r="F53" s="47" t="str">
        <f t="shared" si="3"/>
        <v/>
      </c>
      <c r="G53" s="47"/>
      <c r="H53" s="48"/>
      <c r="I53" s="48"/>
      <c r="J53" s="49"/>
    </row>
    <row r="54" spans="1:10">
      <c r="A54" s="28" t="s">
        <v>53</v>
      </c>
      <c r="B54" s="41">
        <v>7</v>
      </c>
      <c r="C54" s="41"/>
      <c r="D54" s="42" t="str">
        <f t="shared" si="2"/>
        <v/>
      </c>
      <c r="E54" s="42" t="str">
        <f>IF($E$59="","",$E$59)</f>
        <v/>
      </c>
      <c r="F54" s="42" t="str">
        <f t="shared" si="3"/>
        <v/>
      </c>
      <c r="G54" s="42" t="str">
        <f>IF(F54="","",F54*$F$8/1000)</f>
        <v/>
      </c>
      <c r="H54" s="43" t="str">
        <f>IF(G54="","",G54/$F$7*100)</f>
        <v/>
      </c>
      <c r="I54" s="43" t="str">
        <f>IF(H54="","",100-H54)</f>
        <v/>
      </c>
      <c r="J54" s="44"/>
    </row>
    <row r="55" spans="1:10">
      <c r="A55" s="28" t="s">
        <v>53</v>
      </c>
      <c r="B55" s="41">
        <v>8</v>
      </c>
      <c r="C55" s="41"/>
      <c r="D55" s="42" t="str">
        <f t="shared" si="2"/>
        <v/>
      </c>
      <c r="E55" s="42" t="str">
        <f>IF($E$59="","",$E$59)</f>
        <v/>
      </c>
      <c r="F55" s="42" t="str">
        <f t="shared" si="3"/>
        <v/>
      </c>
      <c r="G55" s="42" t="str">
        <f>IF(F55="","",F55*$F$8/1000)</f>
        <v/>
      </c>
      <c r="H55" s="43" t="str">
        <f>IF(G55="","",G55/$F$7*100)</f>
        <v/>
      </c>
      <c r="I55" s="43" t="str">
        <f>IF(H55="","",100-H55)</f>
        <v/>
      </c>
      <c r="J55" s="44"/>
    </row>
    <row r="56" spans="1:10">
      <c r="A56" s="28" t="s">
        <v>53</v>
      </c>
      <c r="B56" s="41">
        <v>9</v>
      </c>
      <c r="C56" s="41"/>
      <c r="D56" s="42" t="str">
        <f t="shared" si="2"/>
        <v/>
      </c>
      <c r="E56" s="42" t="str">
        <f>IF($E$59="","",$E$59)</f>
        <v/>
      </c>
      <c r="F56" s="42" t="str">
        <f t="shared" si="3"/>
        <v/>
      </c>
      <c r="G56" s="42" t="str">
        <f>IF(F56="","",F56*$F$8/1000)</f>
        <v/>
      </c>
      <c r="H56" s="43" t="str">
        <f>IF(G56="","",G56/$F$7*100)</f>
        <v/>
      </c>
      <c r="I56" s="43" t="str">
        <f>IF(H56="","",100-H56)</f>
        <v/>
      </c>
      <c r="J56" s="44"/>
    </row>
    <row r="57" spans="1:10">
      <c r="A57" s="28" t="s">
        <v>53</v>
      </c>
      <c r="B57" s="41">
        <v>10</v>
      </c>
      <c r="C57" s="41"/>
      <c r="D57" s="42" t="str">
        <f t="shared" si="2"/>
        <v/>
      </c>
      <c r="E57" s="42" t="str">
        <f>IF($E$59="","",$E$59)</f>
        <v/>
      </c>
      <c r="F57" s="42" t="str">
        <f t="shared" si="3"/>
        <v/>
      </c>
      <c r="G57" s="42" t="str">
        <f>IF(F57="","",F57*$F$8/1000)</f>
        <v/>
      </c>
      <c r="H57" s="43" t="str">
        <f>IF(G57="","",G57/$F$7*100)</f>
        <v/>
      </c>
      <c r="I57" s="43" t="str">
        <f>IF(H57="","",100-H57)</f>
        <v/>
      </c>
      <c r="J57" s="44"/>
    </row>
    <row r="58" spans="1:10">
      <c r="A58" s="28" t="s">
        <v>53</v>
      </c>
      <c r="B58" s="41"/>
      <c r="C58" s="41"/>
      <c r="D58" s="42" t="str">
        <f t="shared" si="2"/>
        <v/>
      </c>
      <c r="E58" s="42" t="str">
        <f>IF($E$59="","",$E$59)</f>
        <v/>
      </c>
      <c r="F58" s="42" t="str">
        <f t="shared" si="3"/>
        <v/>
      </c>
      <c r="G58" s="42" t="str">
        <f>IF(F58="","",F58*$F$8/1000)</f>
        <v/>
      </c>
      <c r="H58" s="43" t="str">
        <f>IF(G58="","",G58/$F$7*100)</f>
        <v/>
      </c>
      <c r="I58" s="43" t="str">
        <f>IF(H58="","",100-H58)</f>
        <v/>
      </c>
      <c r="J58" s="44"/>
    </row>
    <row r="59" spans="1:10">
      <c r="A59" s="45" t="s">
        <v>49</v>
      </c>
      <c r="B59" s="46"/>
      <c r="C59" s="46"/>
      <c r="D59" s="47" t="str">
        <f t="shared" si="2"/>
        <v/>
      </c>
      <c r="E59" s="47" t="str">
        <f>IF(D59="","",VALUE(LEFT(A59,FIND(" ",A59)-1))/D59)</f>
        <v/>
      </c>
      <c r="F59" s="47" t="str">
        <f t="shared" si="3"/>
        <v/>
      </c>
      <c r="G59" s="47"/>
      <c r="H59" s="48"/>
      <c r="I59" s="48"/>
      <c r="J59" s="49"/>
    </row>
    <row r="60" spans="1:10">
      <c r="A60" s="28" t="s">
        <v>54</v>
      </c>
      <c r="B60" s="41">
        <v>4</v>
      </c>
      <c r="C60" s="41"/>
      <c r="D60" s="42" t="str">
        <f t="shared" si="2"/>
        <v/>
      </c>
      <c r="E60" s="42" t="str">
        <f>IF($E$65="","",$E$65)</f>
        <v/>
      </c>
      <c r="F60" s="42" t="str">
        <f t="shared" si="3"/>
        <v/>
      </c>
      <c r="G60" s="42" t="str">
        <f>IF(F60="","",F60*$F$8/1000)</f>
        <v/>
      </c>
      <c r="H60" s="43" t="str">
        <f>IF(G60="","",G60/$F$7*100)</f>
        <v/>
      </c>
      <c r="I60" s="43" t="str">
        <f>IF(H60="","",100-H60)</f>
        <v/>
      </c>
      <c r="J60" s="44"/>
    </row>
    <row r="61" spans="1:10">
      <c r="A61" s="28" t="s">
        <v>54</v>
      </c>
      <c r="B61" s="41">
        <v>5</v>
      </c>
      <c r="C61" s="41"/>
      <c r="D61" s="42" t="str">
        <f t="shared" si="2"/>
        <v/>
      </c>
      <c r="E61" s="42" t="str">
        <f>IF($E$65="","",$E$65)</f>
        <v/>
      </c>
      <c r="F61" s="42" t="str">
        <f t="shared" si="3"/>
        <v/>
      </c>
      <c r="G61" s="42" t="str">
        <f>IF(F61="","",F61*$F$8/1000)</f>
        <v/>
      </c>
      <c r="H61" s="43" t="str">
        <f>IF(G61="","",G61/$F$7*100)</f>
        <v/>
      </c>
      <c r="I61" s="43" t="str">
        <f>IF(H61="","",100-H61)</f>
        <v/>
      </c>
      <c r="J61" s="44"/>
    </row>
    <row r="62" spans="1:10">
      <c r="A62" s="28" t="s">
        <v>54</v>
      </c>
      <c r="B62" s="41">
        <v>6</v>
      </c>
      <c r="C62" s="41"/>
      <c r="D62" s="42" t="str">
        <f t="shared" si="2"/>
        <v/>
      </c>
      <c r="E62" s="42" t="str">
        <f>IF($E$65="","",$E$65)</f>
        <v/>
      </c>
      <c r="F62" s="42" t="str">
        <f t="shared" si="3"/>
        <v/>
      </c>
      <c r="G62" s="42" t="str">
        <f>IF(F62="","",F62*$F$8/1000)</f>
        <v/>
      </c>
      <c r="H62" s="43" t="str">
        <f>IF(G62="","",G62/$F$7*100)</f>
        <v/>
      </c>
      <c r="I62" s="43" t="str">
        <f>IF(H62="","",100-H62)</f>
        <v/>
      </c>
      <c r="J62" s="44"/>
    </row>
    <row r="63" spans="1:10">
      <c r="A63" s="28" t="s">
        <v>54</v>
      </c>
      <c r="B63" s="41">
        <v>7</v>
      </c>
      <c r="C63" s="41"/>
      <c r="D63" s="42" t="str">
        <f t="shared" si="2"/>
        <v/>
      </c>
      <c r="E63" s="42" t="str">
        <f>IF($E$65="","",$E$65)</f>
        <v/>
      </c>
      <c r="F63" s="42" t="str">
        <f t="shared" si="3"/>
        <v/>
      </c>
      <c r="G63" s="42" t="str">
        <f>IF(F63="","",F63*$F$8/1000)</f>
        <v/>
      </c>
      <c r="H63" s="43" t="str">
        <f>IF(G63="","",G63/$F$7*100)</f>
        <v/>
      </c>
      <c r="I63" s="43" t="str">
        <f>IF(H63="","",100-H63)</f>
        <v/>
      </c>
      <c r="J63" s="44"/>
    </row>
    <row r="64" spans="1:10">
      <c r="A64" s="28" t="s">
        <v>54</v>
      </c>
      <c r="B64" s="41">
        <v>8</v>
      </c>
      <c r="C64" s="41"/>
      <c r="D64" s="42" t="str">
        <f t="shared" si="2"/>
        <v/>
      </c>
      <c r="E64" s="42" t="str">
        <f>IF($E$65="","",$E$65)</f>
        <v/>
      </c>
      <c r="F64" s="42" t="str">
        <f t="shared" si="3"/>
        <v/>
      </c>
      <c r="G64" s="42" t="str">
        <f>IF(F64="","",F64*$F$8/1000)</f>
        <v/>
      </c>
      <c r="H64" s="43" t="str">
        <f>IF(G64="","",G64/$F$7*100)</f>
        <v/>
      </c>
      <c r="I64" s="43" t="str">
        <f>IF(H64="","",100-H64)</f>
        <v/>
      </c>
      <c r="J64" s="44"/>
    </row>
    <row r="65" spans="1:10">
      <c r="A65" s="45" t="s">
        <v>49</v>
      </c>
      <c r="B65" s="46"/>
      <c r="C65" s="46"/>
      <c r="D65" s="47" t="str">
        <f t="shared" si="2"/>
        <v/>
      </c>
      <c r="E65" s="47" t="str">
        <f>IF(D65="","",VALUE(LEFT(A65,FIND(" ",A65)-1))/D65)</f>
        <v/>
      </c>
      <c r="F65" s="47" t="str">
        <f t="shared" si="3"/>
        <v/>
      </c>
      <c r="G65" s="47"/>
      <c r="H65" s="48"/>
      <c r="I65" s="48"/>
      <c r="J65" s="49"/>
    </row>
    <row r="66" spans="1:10">
      <c r="A66" s="28" t="s">
        <v>54</v>
      </c>
      <c r="B66" s="41">
        <v>9</v>
      </c>
      <c r="C66" s="41"/>
      <c r="D66" s="42" t="str">
        <f t="shared" si="2"/>
        <v/>
      </c>
      <c r="E66" s="42"/>
      <c r="F66" s="42" t="str">
        <f t="shared" si="3"/>
        <v/>
      </c>
      <c r="G66" s="42" t="str">
        <f>IF(F66="","",F66*$F$8/1000)</f>
        <v/>
      </c>
      <c r="H66" s="43" t="str">
        <f>IF(G66="","",G66/$F$7*100)</f>
        <v/>
      </c>
      <c r="I66" s="43" t="str">
        <f>IF(H66="","",100-H66)</f>
        <v/>
      </c>
      <c r="J66" s="44"/>
    </row>
    <row r="67" spans="1:10">
      <c r="A67" s="28" t="s">
        <v>54</v>
      </c>
      <c r="B67" s="41">
        <v>10</v>
      </c>
      <c r="C67" s="41"/>
      <c r="D67" s="42" t="str">
        <f t="shared" si="2"/>
        <v/>
      </c>
      <c r="E67" s="42"/>
      <c r="F67" s="42" t="str">
        <f t="shared" si="3"/>
        <v/>
      </c>
      <c r="G67" s="42" t="str">
        <f>IF(F67="","",F67*$F$8/1000)</f>
        <v/>
      </c>
      <c r="H67" s="43" t="str">
        <f>IF(G67="","",G67/$F$7*100)</f>
        <v/>
      </c>
      <c r="I67" s="43" t="str">
        <f>IF(H67="","",100-H67)</f>
        <v/>
      </c>
      <c r="J67" s="44"/>
    </row>
    <row r="68" spans="1:10">
      <c r="A68" s="28" t="s">
        <v>54</v>
      </c>
      <c r="B68" s="41"/>
      <c r="C68" s="41"/>
      <c r="D68" s="42" t="str">
        <f t="shared" si="2"/>
        <v/>
      </c>
      <c r="E68" s="42"/>
      <c r="F68" s="42" t="str">
        <f t="shared" si="3"/>
        <v/>
      </c>
      <c r="G68" s="42" t="str">
        <f>IF(F68="","",F68*$F$8/1000)</f>
        <v/>
      </c>
      <c r="H68" s="43" t="str">
        <f>IF(G68="","",G68/$F$7*100)</f>
        <v/>
      </c>
      <c r="I68" s="43" t="str">
        <f>IF(H68="","",100-H68)</f>
        <v/>
      </c>
      <c r="J68" s="44"/>
    </row>
    <row r="69" spans="1:10">
      <c r="A69" s="28" t="s">
        <v>55</v>
      </c>
      <c r="B69" s="41">
        <v>4</v>
      </c>
      <c r="C69" s="41">
        <v>29.33</v>
      </c>
      <c r="D69" s="50">
        <f t="shared" ref="D69:D83" si="4">IF(C69="","",(C69-$M$5)/$M$4)</f>
        <v>0.20056007187759534</v>
      </c>
      <c r="E69" s="42">
        <f>IF($E$71="","",$E$71)</f>
        <v>1.3430271247721879</v>
      </c>
      <c r="F69" s="42">
        <f t="shared" si="3"/>
        <v>0.26935761667787023</v>
      </c>
      <c r="G69" s="42">
        <f>IF(F69="","",F69*$F$8/1000)</f>
        <v>0.16161457000672214</v>
      </c>
      <c r="H69" s="43">
        <f>IF(G69="","",G69/$F$7*100)</f>
        <v>2.6935761667787022</v>
      </c>
      <c r="I69" s="43">
        <f>IF(H69="","",100-H69)</f>
        <v>97.306423833221302</v>
      </c>
      <c r="J69" s="44"/>
    </row>
    <row r="70" spans="1:10">
      <c r="A70" s="28" t="s">
        <v>55</v>
      </c>
      <c r="B70" s="41">
        <v>5</v>
      </c>
      <c r="C70" s="41">
        <v>53.92</v>
      </c>
      <c r="D70" s="50">
        <f t="shared" si="4"/>
        <v>0.3090037514869346</v>
      </c>
      <c r="E70" s="42">
        <f>IF($E$71="","",$E$71)</f>
        <v>1.3430271247721879</v>
      </c>
      <c r="F70" s="42">
        <f t="shared" si="3"/>
        <v>0.41500041990331743</v>
      </c>
      <c r="G70" s="42">
        <f>IF(F70="","",F70*$F$8/1000)</f>
        <v>0.24900025194199046</v>
      </c>
      <c r="H70" s="43">
        <f>IF(G70="","",G70/$F$7*100)</f>
        <v>4.150004199033174</v>
      </c>
      <c r="I70" s="43">
        <f>IF(H70="","",100-H70)</f>
        <v>95.849995800966823</v>
      </c>
      <c r="J70" s="44"/>
    </row>
    <row r="71" spans="1:10">
      <c r="A71" s="45" t="s">
        <v>56</v>
      </c>
      <c r="B71" s="46"/>
      <c r="C71" s="46">
        <v>152.69</v>
      </c>
      <c r="D71" s="50">
        <f t="shared" si="4"/>
        <v>0.74458659959650919</v>
      </c>
      <c r="E71" s="47">
        <f>IF(D71="","",VALUE(LEFT(A71,FIND(" ",A71)-1))/D71)</f>
        <v>1.3430271247721879</v>
      </c>
      <c r="F71" s="47">
        <f t="shared" si="3"/>
        <v>1</v>
      </c>
      <c r="G71" s="47"/>
      <c r="H71" s="48"/>
      <c r="I71" s="48"/>
      <c r="J71" s="49"/>
    </row>
    <row r="72" spans="1:10">
      <c r="A72" s="28" t="s">
        <v>55</v>
      </c>
      <c r="B72" s="41">
        <v>6</v>
      </c>
      <c r="C72" s="41">
        <v>342.85</v>
      </c>
      <c r="D72" s="50">
        <f t="shared" si="4"/>
        <v>1.5832059617157428</v>
      </c>
      <c r="E72" s="42">
        <v>1.3430271247721879</v>
      </c>
      <c r="F72" s="42">
        <f t="shared" si="3"/>
        <v>2.1262885506852807</v>
      </c>
      <c r="G72" s="42">
        <f>IF(F72="","",F72*$F$8/1000)</f>
        <v>1.2757731304111686</v>
      </c>
      <c r="H72" s="43">
        <f>IF(G72="","",G72/$F$7*100)</f>
        <v>21.262885506852811</v>
      </c>
      <c r="I72" s="43">
        <f>IF(H72="","",100-H72)</f>
        <v>78.737114493147189</v>
      </c>
      <c r="J72" s="44"/>
    </row>
    <row r="73" spans="1:10">
      <c r="A73" s="28" t="s">
        <v>55</v>
      </c>
      <c r="B73" s="41">
        <v>7</v>
      </c>
      <c r="C73" s="41">
        <v>1060.52</v>
      </c>
      <c r="D73" s="50">
        <f t="shared" si="4"/>
        <v>4.7481826003995371</v>
      </c>
      <c r="E73" s="42">
        <v>1.3430271247721879</v>
      </c>
      <c r="F73" s="42">
        <f t="shared" si="3"/>
        <v>6.3769380257079202</v>
      </c>
      <c r="G73" s="42">
        <f>IF(F73="","",F73*$F$8/1000)</f>
        <v>3.8261628154247522</v>
      </c>
      <c r="H73" s="43">
        <f>IF(G73="","",G73/$F$7*100)</f>
        <v>63.769380257079199</v>
      </c>
      <c r="I73" s="43">
        <f>IF(H73="","",100-H73)</f>
        <v>36.230619742920801</v>
      </c>
      <c r="J73" s="44"/>
    </row>
    <row r="74" spans="1:10">
      <c r="A74" s="28" t="s">
        <v>55</v>
      </c>
      <c r="B74" s="41">
        <v>8</v>
      </c>
      <c r="C74" s="41">
        <v>1288.52</v>
      </c>
      <c r="D74" s="50">
        <f t="shared" si="4"/>
        <v>5.7536791010473349</v>
      </c>
      <c r="E74" s="42">
        <v>1.3430271247721879</v>
      </c>
      <c r="F74" s="42">
        <f t="shared" si="3"/>
        <v>7.7273470999414293</v>
      </c>
      <c r="G74" s="42">
        <f>IF(F74="","",F74*$F$8/1000)</f>
        <v>4.6364082599648571</v>
      </c>
      <c r="H74" s="43">
        <f>IF(G74="","",G74/$F$7*100)</f>
        <v>77.273470999414286</v>
      </c>
      <c r="I74" s="43">
        <f>IF(H74="","",100-H74)</f>
        <v>22.726529000585714</v>
      </c>
      <c r="J74" s="44"/>
    </row>
    <row r="75" spans="1:10">
      <c r="A75" s="28" t="s">
        <v>55</v>
      </c>
      <c r="B75" s="41">
        <v>9</v>
      </c>
      <c r="C75" s="41">
        <v>1433.94</v>
      </c>
      <c r="D75" s="50">
        <f t="shared" si="4"/>
        <v>6.3949918252762954</v>
      </c>
      <c r="E75" s="42">
        <v>1.3430271247721879</v>
      </c>
      <c r="F75" s="42">
        <f t="shared" si="3"/>
        <v>8.5886474840424682</v>
      </c>
      <c r="G75" s="42">
        <f>IF(F75="","",F75*$F$8/1000)</f>
        <v>5.1531884904254808</v>
      </c>
      <c r="H75" s="43">
        <f>IF(G75="","",G75/$F$7*100)</f>
        <v>85.886474840424682</v>
      </c>
      <c r="I75" s="43">
        <f>IF(H75="","",100-H75)</f>
        <v>14.113525159575318</v>
      </c>
      <c r="J75" s="44"/>
    </row>
    <row r="76" spans="1:10">
      <c r="A76" s="28" t="s">
        <v>55</v>
      </c>
      <c r="B76" s="41">
        <v>10</v>
      </c>
      <c r="C76" s="41">
        <v>1504.19</v>
      </c>
      <c r="D76" s="50">
        <f t="shared" si="4"/>
        <v>6.7047994093574701</v>
      </c>
      <c r="E76" s="42">
        <v>1.3430271247721879</v>
      </c>
      <c r="F76" s="42">
        <f t="shared" ref="F76:F107" si="5">IF(D76="","",D76*E76)</f>
        <v>9.0047274729236264</v>
      </c>
      <c r="G76" s="42">
        <f>IF(F76="","",F76*$F$8/1000)</f>
        <v>5.402836483754176</v>
      </c>
      <c r="H76" s="43">
        <f>IF(G76="","",G76/$F$7*100)</f>
        <v>90.047274729236264</v>
      </c>
      <c r="I76" s="43">
        <f>IF(H76="","",100-H76)</f>
        <v>9.9527252707637359</v>
      </c>
      <c r="J76" s="44"/>
    </row>
    <row r="77" spans="1:10">
      <c r="A77" s="45" t="s">
        <v>57</v>
      </c>
      <c r="B77" s="46"/>
      <c r="C77" s="46">
        <v>764.57</v>
      </c>
      <c r="D77" s="50">
        <f t="shared" si="4"/>
        <v>3.4430216821244684</v>
      </c>
      <c r="E77" s="47">
        <f>IF(D77="","",VALUE(LEFT(A77,FIND(" ",A77)-1))/D77)</f>
        <v>1.4522127542672982</v>
      </c>
      <c r="F77" s="47">
        <f t="shared" si="5"/>
        <v>5</v>
      </c>
      <c r="G77" s="47"/>
      <c r="H77" s="48"/>
      <c r="I77" s="48"/>
      <c r="J77" s="49"/>
    </row>
    <row r="78" spans="1:10">
      <c r="A78" s="28" t="s">
        <v>55</v>
      </c>
      <c r="B78" s="41">
        <v>7</v>
      </c>
      <c r="C78" s="41">
        <v>1011.04</v>
      </c>
      <c r="D78" s="50">
        <f t="shared" si="4"/>
        <v>4.5299722194694798</v>
      </c>
      <c r="E78" s="51">
        <v>1.4522127542672982</v>
      </c>
      <c r="F78" s="42">
        <f t="shared" si="5"/>
        <v>6.5784834335901197</v>
      </c>
      <c r="G78" s="42">
        <f>IF(F78="","",F78*$F$8/1000)</f>
        <v>3.9470900601540717</v>
      </c>
      <c r="H78" s="43">
        <f>IF(G78="","",G78/$F$7*100)</f>
        <v>65.784834335901195</v>
      </c>
      <c r="I78" s="43">
        <f>IF(H78="","",100-H78)</f>
        <v>34.215165664098805</v>
      </c>
      <c r="J78" s="44"/>
    </row>
    <row r="79" spans="1:10">
      <c r="A79" s="28" t="s">
        <v>58</v>
      </c>
      <c r="B79" s="41">
        <v>4</v>
      </c>
      <c r="C79" s="41">
        <v>0.22</v>
      </c>
      <c r="D79" s="50">
        <f t="shared" si="4"/>
        <v>7.2182865150150599E-2</v>
      </c>
      <c r="E79" s="51">
        <v>1.4522127542672982</v>
      </c>
      <c r="F79" s="42">
        <f t="shared" si="5"/>
        <v>0.10482487741060517</v>
      </c>
      <c r="G79" s="42">
        <f>IF(F79="","",F79*$F$8/1000)</f>
        <v>6.2894926446363103E-2</v>
      </c>
      <c r="H79" s="43">
        <f>IF(G79="","",G79/$F$7*100)</f>
        <v>1.0482487741060518</v>
      </c>
      <c r="I79" s="43">
        <f>IF(H79="","",100-H79)</f>
        <v>98.951751225893943</v>
      </c>
      <c r="J79" s="44"/>
    </row>
    <row r="80" spans="1:10">
      <c r="A80" s="28" t="s">
        <v>58</v>
      </c>
      <c r="B80" s="41">
        <v>5</v>
      </c>
      <c r="C80" s="41">
        <v>89.79</v>
      </c>
      <c r="D80" s="50">
        <f t="shared" si="4"/>
        <v>0.46719304744411233</v>
      </c>
      <c r="E80" s="51">
        <v>1.4522127542672982</v>
      </c>
      <c r="F80" s="42">
        <f t="shared" si="5"/>
        <v>0.67846370220334695</v>
      </c>
      <c r="G80" s="42">
        <f>IF(F80="","",F80*$F$8/1000)</f>
        <v>0.40707822132200816</v>
      </c>
      <c r="H80" s="43">
        <f>IF(G80="","",G80/$F$7*100)</f>
        <v>6.7846370220334702</v>
      </c>
      <c r="I80" s="43">
        <f>IF(H80="","",100-H80)</f>
        <v>93.215362977966535</v>
      </c>
      <c r="J80" s="44"/>
    </row>
    <row r="81" spans="1:10">
      <c r="A81" s="28" t="s">
        <v>58</v>
      </c>
      <c r="B81" s="41">
        <v>6</v>
      </c>
      <c r="C81" s="41">
        <v>574.1</v>
      </c>
      <c r="D81" s="50">
        <f t="shared" si="4"/>
        <v>2.6030351975701431</v>
      </c>
      <c r="E81" s="51">
        <v>1.4522127542672982</v>
      </c>
      <c r="F81" s="42">
        <f t="shared" si="5"/>
        <v>3.7801609137180585</v>
      </c>
      <c r="G81" s="42">
        <f>IF(F81="","",F81*$F$8/1000)</f>
        <v>2.2680965482308353</v>
      </c>
      <c r="H81" s="43">
        <f>IF(G81="","",G81/$F$7*100)</f>
        <v>37.801609137180584</v>
      </c>
      <c r="I81" s="43">
        <f>IF(H81="","",100-H81)</f>
        <v>62.198390862819416</v>
      </c>
      <c r="J81" s="44"/>
    </row>
    <row r="82" spans="1:10">
      <c r="A82" s="28" t="s">
        <v>58</v>
      </c>
      <c r="B82" s="41">
        <v>7</v>
      </c>
      <c r="C82" s="41">
        <v>785.29</v>
      </c>
      <c r="D82" s="50">
        <f t="shared" si="4"/>
        <v>3.5343983816570224</v>
      </c>
      <c r="E82" s="51">
        <v>1.4522127542672982</v>
      </c>
      <c r="F82" s="42">
        <f t="shared" si="5"/>
        <v>5.1326984085040257</v>
      </c>
      <c r="G82" s="42">
        <f>IF(F82="","",F82*$F$8/1000)</f>
        <v>3.0796190451024152</v>
      </c>
      <c r="H82" s="43">
        <f>IF(G82="","",G82/$F$7*100)</f>
        <v>51.326984085040252</v>
      </c>
      <c r="I82" s="43">
        <f>IF(H82="","",100-H82)</f>
        <v>48.673015914959748</v>
      </c>
      <c r="J82" s="44"/>
    </row>
    <row r="83" spans="1:10">
      <c r="A83" s="45" t="s">
        <v>57</v>
      </c>
      <c r="B83" s="46"/>
      <c r="C83" s="46">
        <v>681.38</v>
      </c>
      <c r="D83" s="50">
        <f t="shared" si="4"/>
        <v>3.0761477615591595</v>
      </c>
      <c r="E83" s="47">
        <f>IF(D83="","",VALUE(LEFT(A83,FIND(" ",A83)-1))/D83)</f>
        <v>1.6254095666281412</v>
      </c>
      <c r="F83" s="47">
        <f t="shared" si="5"/>
        <v>5</v>
      </c>
      <c r="G83" s="47"/>
      <c r="H83" s="48"/>
      <c r="I83" s="48"/>
      <c r="J83" s="49"/>
    </row>
    <row r="84" spans="1:10">
      <c r="A84" s="28" t="s">
        <v>58</v>
      </c>
      <c r="B84" s="41">
        <v>8</v>
      </c>
      <c r="C84" s="41">
        <v>929.38</v>
      </c>
      <c r="D84" s="50">
        <f>IF(C87="","",(C87-$M$5)/$M$4)</f>
        <v>3.5596239956206426</v>
      </c>
      <c r="E84" s="42">
        <v>1.6254095666281412</v>
      </c>
      <c r="F84" s="42">
        <f t="shared" si="5"/>
        <v>5.7858468960808809</v>
      </c>
      <c r="G84" s="42">
        <f>IF(F84="","",F84*$F$8/1000)</f>
        <v>3.4715081376485286</v>
      </c>
      <c r="H84" s="43">
        <f>IF(G84="","",G84/$F$7*100)</f>
        <v>57.858468960808807</v>
      </c>
      <c r="I84" s="43">
        <f>IF(H84="","",100-H84)</f>
        <v>42.141531039191193</v>
      </c>
      <c r="J84" s="44"/>
    </row>
    <row r="85" spans="1:10">
      <c r="A85" s="28" t="s">
        <v>58</v>
      </c>
      <c r="B85" s="41">
        <v>9</v>
      </c>
      <c r="C85" s="41">
        <v>1062.96</v>
      </c>
      <c r="D85" s="50">
        <f>IF(C84="","",(C84-$M$5)/$M$4)</f>
        <v>4.1698457096322032</v>
      </c>
      <c r="E85" s="42">
        <v>1.6254095666281412</v>
      </c>
      <c r="F85" s="42">
        <f t="shared" si="5"/>
        <v>6.7777071077994933</v>
      </c>
      <c r="G85" s="42">
        <f>IF(F85="","",F85*$F$8/1000)</f>
        <v>4.066624264679696</v>
      </c>
      <c r="H85" s="43">
        <f>IF(G85="","",G85/$F$7*100)</f>
        <v>67.777071077994933</v>
      </c>
      <c r="I85" s="43">
        <f>IF(H85="","",100-H85)</f>
        <v>32.222928922005067</v>
      </c>
      <c r="J85" s="44"/>
    </row>
    <row r="86" spans="1:10">
      <c r="A86" s="28" t="s">
        <v>58</v>
      </c>
      <c r="B86" s="41">
        <v>10</v>
      </c>
      <c r="C86" s="41">
        <v>973.52</v>
      </c>
      <c r="D86" s="50">
        <f>IF(C86="","",(C86-$M$5)/$M$4)</f>
        <v>4.3645063040997201</v>
      </c>
      <c r="E86" s="42">
        <v>1.6254095666281412</v>
      </c>
      <c r="F86" s="42">
        <f t="shared" si="5"/>
        <v>7.0941103002925159</v>
      </c>
      <c r="G86" s="42">
        <f>IF(F86="","",F86*$F$8/1000)</f>
        <v>4.2564661801755088</v>
      </c>
      <c r="H86" s="43">
        <f>IF(G86="","",G86/$F$7*100)</f>
        <v>70.941103002925146</v>
      </c>
      <c r="I86" s="43">
        <f>IF(H86="","",100-H86)</f>
        <v>29.058896997074854</v>
      </c>
      <c r="J86" s="44"/>
    </row>
    <row r="87" spans="1:10">
      <c r="A87" s="28" t="s">
        <v>58</v>
      </c>
      <c r="B87" s="41"/>
      <c r="C87" s="41">
        <v>791.01</v>
      </c>
      <c r="D87" s="50">
        <f>IF(C87="","",(C87-$M$5)/$M$4)</f>
        <v>3.5596239956206426</v>
      </c>
      <c r="E87" s="42">
        <v>1.6254095666281412</v>
      </c>
      <c r="F87" s="42">
        <f t="shared" si="5"/>
        <v>5.7858468960808809</v>
      </c>
      <c r="G87" s="42">
        <f>IF(F87="","",F87*$F$8/1000)</f>
        <v>3.4715081376485286</v>
      </c>
      <c r="H87" s="43">
        <f>IF(G87="","",G87/$F$7*100)</f>
        <v>57.858468960808807</v>
      </c>
      <c r="I87" s="43">
        <f>IF(H87="","",100-H87)</f>
        <v>42.141531039191193</v>
      </c>
      <c r="J87" s="44"/>
    </row>
    <row r="88" spans="1:10">
      <c r="A88" s="28" t="s">
        <v>59</v>
      </c>
      <c r="B88" s="41">
        <v>4</v>
      </c>
      <c r="C88" s="41">
        <v>41.92</v>
      </c>
      <c r="D88" s="50">
        <f t="shared" ref="D88:D97" si="6">IF(C88="","",(C88-$M$5)/$M$4)</f>
        <v>0.25608288303178733</v>
      </c>
      <c r="E88" s="42">
        <v>1.2055878493735048</v>
      </c>
      <c r="F88" s="42">
        <f t="shared" si="5"/>
        <v>0.30873041221565928</v>
      </c>
      <c r="G88" s="42">
        <f>IF(F88="","",F88*$F$8/1000)</f>
        <v>0.18523824732939556</v>
      </c>
      <c r="H88" s="43">
        <f>IF(G88="","",G88/$F$7*100)</f>
        <v>3.0873041221565924</v>
      </c>
      <c r="I88" s="43">
        <f>IF(H88="","",100-H88)</f>
        <v>96.912695877843404</v>
      </c>
      <c r="J88" s="44"/>
    </row>
    <row r="89" spans="1:10">
      <c r="A89" s="52" t="s">
        <v>49</v>
      </c>
      <c r="B89" s="53"/>
      <c r="C89" s="53"/>
      <c r="D89" s="50" t="str">
        <f t="shared" si="6"/>
        <v/>
      </c>
      <c r="E89" s="51" t="str">
        <f>IF(D89="","",VALUE(LEFT(A89,FIND(" ",A89)-1))/D89)</f>
        <v/>
      </c>
      <c r="F89" s="51" t="str">
        <f t="shared" si="5"/>
        <v/>
      </c>
      <c r="G89" s="51"/>
      <c r="H89" s="54"/>
      <c r="I89" s="54"/>
      <c r="J89" s="49"/>
    </row>
    <row r="90" spans="1:10">
      <c r="A90" s="28" t="s">
        <v>59</v>
      </c>
      <c r="B90" s="41">
        <v>5</v>
      </c>
      <c r="C90" s="41">
        <v>580.52</v>
      </c>
      <c r="D90" s="50">
        <f t="shared" si="6"/>
        <v>2.631347862193647</v>
      </c>
      <c r="E90" s="42">
        <f>IF($E$95="","",$E$95)</f>
        <v>1.2055878493735048</v>
      </c>
      <c r="F90" s="42">
        <f t="shared" si="5"/>
        <v>3.1723210101356085</v>
      </c>
      <c r="G90" s="42">
        <f>IF(F90="","",F90*$F$8/1000)</f>
        <v>1.9033926060813651</v>
      </c>
      <c r="H90" s="43">
        <f>IF(G90="","",G90/$F$7*100)</f>
        <v>31.723210101356088</v>
      </c>
      <c r="I90" s="43">
        <f>IF(H90="","",100-H90)</f>
        <v>68.276789898643912</v>
      </c>
      <c r="J90" s="44"/>
    </row>
    <row r="91" spans="1:10">
      <c r="A91" s="28" t="s">
        <v>59</v>
      </c>
      <c r="B91" s="41">
        <v>6</v>
      </c>
      <c r="C91" s="41">
        <v>1119.3</v>
      </c>
      <c r="D91" s="50">
        <f t="shared" si="6"/>
        <v>5.0074066543823337</v>
      </c>
      <c r="E91" s="42">
        <f>IF($E$95="","",$E$95)</f>
        <v>1.2055878493735048</v>
      </c>
      <c r="F91" s="42">
        <f t="shared" si="5"/>
        <v>6.0368686193953742</v>
      </c>
      <c r="G91" s="42">
        <f>IF(F91="","",F91*$F$8/1000)</f>
        <v>3.6221211716372244</v>
      </c>
      <c r="H91" s="43">
        <f>IF(G91="","",G91/$F$7*100)</f>
        <v>60.368686193953735</v>
      </c>
      <c r="I91" s="43">
        <f>IF(H91="","",100-H91)</f>
        <v>39.631313806046265</v>
      </c>
      <c r="J91" s="44"/>
    </row>
    <row r="92" spans="1:10">
      <c r="A92" s="28" t="s">
        <v>59</v>
      </c>
      <c r="B92" s="41">
        <v>7</v>
      </c>
      <c r="C92" s="41">
        <v>1425.27</v>
      </c>
      <c r="D92" s="50">
        <f t="shared" si="6"/>
        <v>6.3567564978174511</v>
      </c>
      <c r="E92" s="42">
        <f>IF($E$95="","",$E$95)</f>
        <v>1.2055878493735048</v>
      </c>
      <c r="F92" s="42">
        <f t="shared" si="5"/>
        <v>7.6636283951947934</v>
      </c>
      <c r="G92" s="42">
        <f>IF(F92="","",F92*$F$8/1000)</f>
        <v>4.5981770371168755</v>
      </c>
      <c r="H92" s="43">
        <f>IF(G92="","",G92/$F$7*100)</f>
        <v>76.636283951947931</v>
      </c>
      <c r="I92" s="43">
        <f>IF(H92="","",100-H92)</f>
        <v>23.363716048052069</v>
      </c>
      <c r="J92" s="44"/>
    </row>
    <row r="93" spans="1:10">
      <c r="A93" s="28" t="s">
        <v>59</v>
      </c>
      <c r="B93" s="41">
        <v>8</v>
      </c>
      <c r="C93" s="41">
        <v>1647.28</v>
      </c>
      <c r="D93" s="50">
        <f t="shared" si="6"/>
        <v>7.3358366649613878</v>
      </c>
      <c r="E93" s="42">
        <f>IF($E$95="","",$E$95)</f>
        <v>1.2055878493735048</v>
      </c>
      <c r="F93" s="42">
        <f t="shared" si="5"/>
        <v>8.8439955482661041</v>
      </c>
      <c r="G93" s="42">
        <f>IF(F93="","",F93*$F$8/1000)</f>
        <v>5.3063973289596627</v>
      </c>
      <c r="H93" s="43">
        <f>IF(G93="","",G93/$F$7*100)</f>
        <v>88.439955482661048</v>
      </c>
      <c r="I93" s="43">
        <f>IF(H93="","",100-H93)</f>
        <v>11.560044517338952</v>
      </c>
      <c r="J93" s="44"/>
    </row>
    <row r="94" spans="1:10">
      <c r="A94" s="28" t="s">
        <v>59</v>
      </c>
      <c r="B94" s="41">
        <v>9</v>
      </c>
      <c r="C94" s="41">
        <v>1434.99</v>
      </c>
      <c r="D94" s="50">
        <f t="shared" si="6"/>
        <v>6.3996224012661207</v>
      </c>
      <c r="E94" s="42">
        <f>IF($E$95="","",$E$95)</f>
        <v>1.2055878493735048</v>
      </c>
      <c r="F94" s="42">
        <f t="shared" si="5"/>
        <v>7.7153070075449275</v>
      </c>
      <c r="G94" s="42">
        <f>IF(F94="","",F94*$F$8/1000)</f>
        <v>4.6291842045269567</v>
      </c>
      <c r="H94" s="43">
        <f>IF(G94="","",G94/$F$7*100)</f>
        <v>77.153070075449278</v>
      </c>
      <c r="I94" s="43">
        <f>IF(H94="","",100-H94)</f>
        <v>22.846929924550722</v>
      </c>
      <c r="J94" s="44"/>
    </row>
    <row r="95" spans="1:10">
      <c r="A95" s="45" t="s">
        <v>57</v>
      </c>
      <c r="B95" s="53"/>
      <c r="C95" s="53">
        <v>924.28</v>
      </c>
      <c r="D95" s="50">
        <f t="shared" si="6"/>
        <v>4.1473543405387652</v>
      </c>
      <c r="E95" s="51">
        <f>IF(D95="","",VALUE(LEFT(A95,FIND(" ",A95)-1))/D95)</f>
        <v>1.2055878493735048</v>
      </c>
      <c r="F95" s="51">
        <f t="shared" si="5"/>
        <v>5</v>
      </c>
      <c r="G95" s="51"/>
      <c r="H95" s="54"/>
      <c r="I95" s="54"/>
      <c r="J95" s="49"/>
    </row>
    <row r="96" spans="1:10">
      <c r="A96" s="28" t="s">
        <v>59</v>
      </c>
      <c r="B96" s="41">
        <v>10</v>
      </c>
      <c r="C96" s="41">
        <v>1482.99</v>
      </c>
      <c r="D96" s="50">
        <f t="shared" si="6"/>
        <v>6.6113058750867095</v>
      </c>
      <c r="E96" s="42">
        <f>IF($E$95="","",$E$95)</f>
        <v>1.2055878493735048</v>
      </c>
      <c r="F96" s="42">
        <f t="shared" si="5"/>
        <v>7.9705100314962039</v>
      </c>
      <c r="G96" s="42">
        <f>IF(F96="","",F96*$F$8/1000)</f>
        <v>4.7823060188977227</v>
      </c>
      <c r="H96" s="43">
        <f>IF(G96="","",G96/$F$7*100)</f>
        <v>79.705100314962039</v>
      </c>
      <c r="I96" s="43">
        <f>IF(H96="","",100-H96)</f>
        <v>20.294899685037961</v>
      </c>
      <c r="J96" s="44"/>
    </row>
    <row r="97" spans="1:10">
      <c r="A97" s="28" t="s">
        <v>59</v>
      </c>
      <c r="B97" s="41">
        <v>8</v>
      </c>
      <c r="C97" s="41">
        <v>1544.99</v>
      </c>
      <c r="D97" s="50">
        <f t="shared" si="6"/>
        <v>6.8847303621049702</v>
      </c>
      <c r="E97" s="42">
        <f>IF($E$95="","",$E$95)</f>
        <v>1.2055878493735048</v>
      </c>
      <c r="F97" s="42">
        <f t="shared" si="5"/>
        <v>8.3001472707666029</v>
      </c>
      <c r="G97" s="42">
        <f>IF(F97="","",F97*$F$8/1000)</f>
        <v>4.9800883624599619</v>
      </c>
      <c r="H97" s="43">
        <f>IF(G97="","",G97/$F$7*100)</f>
        <v>83.001472707666039</v>
      </c>
      <c r="I97" s="43">
        <f>IF(H97="","",100-H97)</f>
        <v>16.998527292333961</v>
      </c>
      <c r="J97" s="44"/>
    </row>
    <row r="98" spans="1:10">
      <c r="A98" s="28" t="s">
        <v>60</v>
      </c>
      <c r="B98" s="41">
        <v>4</v>
      </c>
      <c r="C98" s="41">
        <v>47.87</v>
      </c>
      <c r="D98" s="55">
        <f t="shared" ref="D98:D107" si="7">IF(C98="","",(C98-$F$5)/$F$4)</f>
        <v>0.26163525067171234</v>
      </c>
      <c r="E98" s="42">
        <f>IF($E$101="","",$E$101)</f>
        <v>1.0758742326086224</v>
      </c>
      <c r="F98" s="42">
        <f t="shared" si="5"/>
        <v>0.28148662453979306</v>
      </c>
      <c r="G98" s="42">
        <f>IF(F98="","",F98*$F$8/1000)</f>
        <v>0.16889197472387585</v>
      </c>
      <c r="H98" s="43">
        <f>IF(G98="","",G98/$F$7*100)</f>
        <v>2.8148662453979307</v>
      </c>
      <c r="I98" s="43">
        <f>IF(H98="","",100-H98)</f>
        <v>97.185133754602063</v>
      </c>
      <c r="J98" s="44"/>
    </row>
    <row r="99" spans="1:10">
      <c r="A99" s="28" t="s">
        <v>60</v>
      </c>
      <c r="B99" s="41">
        <v>5</v>
      </c>
      <c r="C99" s="41">
        <v>206.53</v>
      </c>
      <c r="D99" s="55">
        <f t="shared" si="7"/>
        <v>1.0913850733116965</v>
      </c>
      <c r="E99" s="42">
        <f>IF($E$101="","",$E$101)</f>
        <v>1.0758742326086224</v>
      </c>
      <c r="F99" s="42">
        <f t="shared" si="5"/>
        <v>1.1741930782297265</v>
      </c>
      <c r="G99" s="42">
        <f>IF(F99="","",F99*$F$8/1000)</f>
        <v>0.70451584693783598</v>
      </c>
      <c r="H99" s="43">
        <f>IF(G99="","",G99/$F$7*100)</f>
        <v>11.741930782297267</v>
      </c>
      <c r="I99" s="43">
        <f>IF(H99="","",100-H99)</f>
        <v>88.25806921770274</v>
      </c>
      <c r="J99" s="44"/>
    </row>
    <row r="100" spans="1:10">
      <c r="A100" s="28" t="s">
        <v>60</v>
      </c>
      <c r="B100" s="41">
        <v>6</v>
      </c>
      <c r="C100" s="41">
        <v>423.81</v>
      </c>
      <c r="D100" s="55">
        <f t="shared" si="7"/>
        <v>2.227701986605632</v>
      </c>
      <c r="E100" s="42">
        <f>IF($E$101="","",$E$101)</f>
        <v>1.0758742326086224</v>
      </c>
      <c r="F100" s="42">
        <f t="shared" si="5"/>
        <v>2.3967271653200379</v>
      </c>
      <c r="G100" s="42">
        <f>IF(F100="","",F100*$F$8/1000)</f>
        <v>1.4380362991920228</v>
      </c>
      <c r="H100" s="43">
        <f>IF(G100="","",G100/$F$7*100)</f>
        <v>23.967271653200381</v>
      </c>
      <c r="I100" s="43">
        <f>IF(H100="","",100-H100)</f>
        <v>76.032728346799615</v>
      </c>
      <c r="J100" s="44"/>
    </row>
    <row r="101" spans="1:10">
      <c r="A101" s="45" t="s">
        <v>61</v>
      </c>
      <c r="B101" s="46"/>
      <c r="C101" s="46">
        <v>353.3</v>
      </c>
      <c r="D101" s="56">
        <f t="shared" si="7"/>
        <v>1.8589533417402262</v>
      </c>
      <c r="E101" s="47">
        <f>IF(D101="","",VALUE(LEFT(A101,FIND(" ",A101)-1))/D101)</f>
        <v>1.0758742326086224</v>
      </c>
      <c r="F101" s="47">
        <f t="shared" si="5"/>
        <v>2</v>
      </c>
      <c r="G101" s="47"/>
      <c r="H101" s="48"/>
      <c r="I101" s="48"/>
      <c r="J101" s="49"/>
    </row>
    <row r="102" spans="1:10">
      <c r="A102" s="28" t="s">
        <v>60</v>
      </c>
      <c r="B102" s="41">
        <v>7</v>
      </c>
      <c r="C102" s="41">
        <v>815.32</v>
      </c>
      <c r="D102" s="55">
        <f t="shared" si="7"/>
        <v>4.2751957031175456</v>
      </c>
      <c r="E102" s="42">
        <v>1.0758742326086224</v>
      </c>
      <c r="F102" s="42">
        <f t="shared" si="5"/>
        <v>4.5995728963432692</v>
      </c>
      <c r="G102" s="42">
        <f>IF(F102="","",F102*$F$8/1000)</f>
        <v>2.7597437378059615</v>
      </c>
      <c r="H102" s="43">
        <f>IF(G102="","",G102/$F$7*100)</f>
        <v>45.99572896343269</v>
      </c>
      <c r="I102" s="43">
        <f>IF(H102="","",100-H102)</f>
        <v>54.00427103656731</v>
      </c>
      <c r="J102" s="44"/>
    </row>
    <row r="103" spans="1:10">
      <c r="A103" s="28" t="s">
        <v>60</v>
      </c>
      <c r="B103" s="41">
        <v>8</v>
      </c>
      <c r="C103" s="41">
        <v>1113.77</v>
      </c>
      <c r="D103" s="55">
        <f t="shared" si="7"/>
        <v>5.8360102409147432</v>
      </c>
      <c r="E103" s="42">
        <v>1.0758742326086224</v>
      </c>
      <c r="F103" s="42">
        <f t="shared" si="5"/>
        <v>6.2788130394402106</v>
      </c>
      <c r="G103" s="42">
        <f>IF(F103="","",F103*$F$8/1000)</f>
        <v>3.7672878236641263</v>
      </c>
      <c r="H103" s="43">
        <f>IF(G103="","",G103/$F$7*100)</f>
        <v>62.78813039440211</v>
      </c>
      <c r="I103" s="43">
        <f>IF(H103="","",100-H103)</f>
        <v>37.21186960559789</v>
      </c>
      <c r="J103" s="44"/>
    </row>
    <row r="104" spans="1:10">
      <c r="A104" s="28" t="s">
        <v>60</v>
      </c>
      <c r="B104" s="41">
        <v>9</v>
      </c>
      <c r="C104" s="41">
        <v>1531.55</v>
      </c>
      <c r="D104" s="55">
        <f t="shared" si="7"/>
        <v>8.020889107059535</v>
      </c>
      <c r="E104" s="42">
        <v>1.0758742326086224</v>
      </c>
      <c r="F104" s="42">
        <f t="shared" si="5"/>
        <v>8.6294679128965353</v>
      </c>
      <c r="G104" s="42">
        <f>IF(F104="","",F104*$F$8/1000)</f>
        <v>5.1776807477379219</v>
      </c>
      <c r="H104" s="43">
        <f>IF(G104="","",G104/$F$7*100)</f>
        <v>86.29467912896537</v>
      </c>
      <c r="I104" s="43">
        <f>IF(H104="","",100-H104)</f>
        <v>13.70532087103463</v>
      </c>
      <c r="J104" s="44"/>
    </row>
    <row r="105" spans="1:10">
      <c r="A105" s="28" t="s">
        <v>60</v>
      </c>
      <c r="B105" s="41">
        <v>10</v>
      </c>
      <c r="C105" s="41">
        <v>1983.55</v>
      </c>
      <c r="D105" s="55">
        <f t="shared" si="7"/>
        <v>10.38472951947144</v>
      </c>
      <c r="E105" s="42">
        <v>1.0758742326086224</v>
      </c>
      <c r="F105" s="42">
        <f t="shared" si="5"/>
        <v>11.172662902609444</v>
      </c>
      <c r="G105" s="42">
        <f>IF(F105="","",F105*$F$8/1000)</f>
        <v>6.703597741565666</v>
      </c>
      <c r="H105" s="43">
        <f>IF(G105="","",G105/$F$7*100)</f>
        <v>111.72662902609443</v>
      </c>
      <c r="I105" s="43">
        <f>IF(H105="","",100-H105)</f>
        <v>-11.726629026094429</v>
      </c>
      <c r="J105" s="44"/>
    </row>
    <row r="106" spans="1:10">
      <c r="A106" s="28" t="s">
        <v>60</v>
      </c>
      <c r="B106" s="41">
        <v>7</v>
      </c>
      <c r="C106" s="41">
        <v>773.32</v>
      </c>
      <c r="D106" s="55">
        <f t="shared" si="7"/>
        <v>4.0555468152385634</v>
      </c>
      <c r="E106" s="42">
        <v>1.0758742326086224</v>
      </c>
      <c r="F106" s="42">
        <f t="shared" si="5"/>
        <v>4.3632583176531314</v>
      </c>
      <c r="G106" s="42">
        <f>IF(F106="","",F106*$F$8/1000)</f>
        <v>2.6179549905918789</v>
      </c>
      <c r="H106" s="43">
        <f>IF(G106="","",G106/$F$7*100)</f>
        <v>43.632583176531313</v>
      </c>
      <c r="I106" s="43">
        <f>IF(H106="","",100-H106)</f>
        <v>56.367416823468687</v>
      </c>
      <c r="J106" s="44"/>
    </row>
    <row r="107" spans="1:10">
      <c r="A107" s="45" t="s">
        <v>62</v>
      </c>
      <c r="B107" s="46"/>
      <c r="C107" s="46">
        <v>3602.27</v>
      </c>
      <c r="D107" s="56">
        <f t="shared" si="7"/>
        <v>18.850206847744449</v>
      </c>
      <c r="E107" s="47">
        <f>IF(D107="","",VALUE(LEFT(A107,FIND(" ",A107)-1))/D107)</f>
        <v>1.060996314870313</v>
      </c>
      <c r="F107" s="47">
        <f t="shared" si="5"/>
        <v>20</v>
      </c>
      <c r="G107" s="47"/>
      <c r="H107" s="48"/>
      <c r="I107" s="48"/>
      <c r="J107" s="49"/>
    </row>
    <row r="108" spans="1:10">
      <c r="A108" s="28" t="s">
        <v>63</v>
      </c>
      <c r="B108" s="41">
        <v>4</v>
      </c>
      <c r="C108" s="41">
        <v>1.44</v>
      </c>
      <c r="D108" s="55">
        <f t="shared" ref="D108:D135" si="8">IF(C108="","",(C108-$F$5)/$F$4)</f>
        <v>1.8818634856923061E-2</v>
      </c>
      <c r="E108" s="42">
        <v>1.060996314870313</v>
      </c>
      <c r="F108" s="42">
        <f t="shared" ref="F108:F144" si="9">IF(D108="","",D108*E108)</f>
        <v>1.9966502234085387E-2</v>
      </c>
      <c r="G108" s="42">
        <f>IF(F108="","",F108*$F$8/1000)</f>
        <v>1.1979901340451231E-2</v>
      </c>
      <c r="H108" s="43">
        <f>IF(G108="","",G108/$F$7*100)</f>
        <v>0.19966502234085387</v>
      </c>
      <c r="I108" s="43">
        <f>IF(H108="","",100-H108)</f>
        <v>99.800334977659148</v>
      </c>
      <c r="J108" s="44"/>
    </row>
    <row r="109" spans="1:10">
      <c r="A109" s="28" t="s">
        <v>63</v>
      </c>
      <c r="B109" s="41">
        <v>5</v>
      </c>
      <c r="C109" s="41">
        <v>52.17</v>
      </c>
      <c r="D109" s="55">
        <f t="shared" si="8"/>
        <v>0.28412311300217963</v>
      </c>
      <c r="E109" s="42">
        <v>1.060996314870313</v>
      </c>
      <c r="F109" s="42">
        <f t="shared" si="9"/>
        <v>0.3014535758647941</v>
      </c>
      <c r="G109" s="42">
        <f>IF(F109="","",F109*$F$8/1000)</f>
        <v>0.18087214551887645</v>
      </c>
      <c r="H109" s="43">
        <f>IF(G109="","",G109/$F$7*100)</f>
        <v>3.0145357586479409</v>
      </c>
      <c r="I109" s="43">
        <f>IF(H109="","",100-H109)</f>
        <v>96.985464241352062</v>
      </c>
      <c r="J109" s="44"/>
    </row>
    <row r="110" spans="1:10">
      <c r="A110" s="28" t="s">
        <v>63</v>
      </c>
      <c r="B110" s="41">
        <v>6</v>
      </c>
      <c r="C110" s="41">
        <v>157.44</v>
      </c>
      <c r="D110" s="55">
        <f t="shared" si="8"/>
        <v>0.8346573612645718</v>
      </c>
      <c r="E110" s="42">
        <v>1.060996314870313</v>
      </c>
      <c r="F110" s="42">
        <f t="shared" si="9"/>
        <v>0.88556838448109021</v>
      </c>
      <c r="G110" s="42">
        <f>IF(F110="","",F110*$F$8/1000)</f>
        <v>0.53134103068865413</v>
      </c>
      <c r="H110" s="43">
        <f>IF(G110="","",G110/$F$7*100)</f>
        <v>8.8556838448109012</v>
      </c>
      <c r="I110" s="43">
        <f>IF(H110="","",100-H110)</f>
        <v>91.144316155189102</v>
      </c>
      <c r="J110" s="44"/>
    </row>
    <row r="111" spans="1:10">
      <c r="A111" s="28" t="s">
        <v>63</v>
      </c>
      <c r="B111" s="41">
        <v>7</v>
      </c>
      <c r="C111" s="41">
        <v>299.87</v>
      </c>
      <c r="D111" s="55">
        <f t="shared" si="8"/>
        <v>1.5795285779456065</v>
      </c>
      <c r="E111" s="42">
        <v>1.060996314870313</v>
      </c>
      <c r="F111" s="42">
        <f t="shared" si="9"/>
        <v>1.6758740004326345</v>
      </c>
      <c r="G111" s="42">
        <f>IF(F111="","",F111*$F$8/1000)</f>
        <v>1.0055244002595807</v>
      </c>
      <c r="H111" s="43">
        <f>IF(G111="","",G111/$F$7*100)</f>
        <v>16.758740004326345</v>
      </c>
      <c r="I111" s="43">
        <f>IF(H111="","",100-H111)</f>
        <v>83.241259995673659</v>
      </c>
      <c r="J111" s="44"/>
    </row>
    <row r="112" spans="1:10">
      <c r="A112" s="28" t="s">
        <v>63</v>
      </c>
      <c r="B112" s="41">
        <v>8</v>
      </c>
      <c r="C112" s="41">
        <v>774.68</v>
      </c>
      <c r="D112" s="55">
        <f t="shared" si="8"/>
        <v>4.0626592554175014</v>
      </c>
      <c r="E112" s="42">
        <v>1.060996314870313</v>
      </c>
      <c r="F112" s="42">
        <f t="shared" si="9"/>
        <v>4.3104664985717385</v>
      </c>
      <c r="G112" s="42">
        <f>IF(F112="","",F112*$F$8/1000)</f>
        <v>2.5862798991430433</v>
      </c>
      <c r="H112" s="43">
        <f>IF(G112="","",G112/$F$7*100)</f>
        <v>43.104664985717392</v>
      </c>
      <c r="I112" s="43">
        <f>IF(H112="","",100-H112)</f>
        <v>56.895335014282608</v>
      </c>
      <c r="J112" s="44"/>
    </row>
    <row r="113" spans="1:10">
      <c r="A113" s="45" t="s">
        <v>61</v>
      </c>
      <c r="B113" s="46"/>
      <c r="C113" s="46">
        <v>372.94</v>
      </c>
      <c r="D113" s="56">
        <f t="shared" si="8"/>
        <v>1.9616653455007789</v>
      </c>
      <c r="E113" s="47">
        <f>IF(D113="","",VALUE(LEFT(A113,FIND(" ",A113)-1))/D113)</f>
        <v>1.0195418931099254</v>
      </c>
      <c r="F113" s="47">
        <f t="shared" si="9"/>
        <v>2</v>
      </c>
      <c r="G113" s="47"/>
      <c r="H113" s="48"/>
      <c r="I113" s="48"/>
      <c r="J113" s="49"/>
    </row>
    <row r="114" spans="1:10">
      <c r="A114" s="28" t="s">
        <v>63</v>
      </c>
      <c r="B114" s="41">
        <v>9</v>
      </c>
      <c r="C114" s="41">
        <v>1365.57</v>
      </c>
      <c r="D114" s="55">
        <f t="shared" si="8"/>
        <v>7.1528576211034984</v>
      </c>
      <c r="E114" s="42">
        <v>1.0195418931099254</v>
      </c>
      <c r="F114" s="42">
        <f t="shared" si="9"/>
        <v>7.2926380001656179</v>
      </c>
      <c r="G114" s="42">
        <f>IF(F114="","",F114*$F$8/1000)</f>
        <v>4.3755828000993704</v>
      </c>
      <c r="H114" s="43">
        <f>IF(G114="","",G114/$F$7*100)</f>
        <v>72.92638000165617</v>
      </c>
      <c r="I114" s="43">
        <f>IF(H114="","",100-H114)</f>
        <v>27.07361999834383</v>
      </c>
      <c r="J114" s="44"/>
    </row>
    <row r="115" spans="1:10">
      <c r="A115" s="28" t="s">
        <v>63</v>
      </c>
      <c r="B115" s="41">
        <v>10</v>
      </c>
      <c r="C115" s="41">
        <v>1928.37</v>
      </c>
      <c r="D115" s="55">
        <f t="shared" si="8"/>
        <v>10.096152718681862</v>
      </c>
      <c r="E115" s="42">
        <v>1.0195418931099254</v>
      </c>
      <c r="F115" s="42">
        <f t="shared" si="9"/>
        <v>10.293450655931826</v>
      </c>
      <c r="G115" s="42">
        <f>IF(F115="","",F115*$F$8/1000)</f>
        <v>6.1760703935590957</v>
      </c>
      <c r="H115" s="43">
        <f>IF(G115="","",G115/$F$7*100)</f>
        <v>102.93450655931827</v>
      </c>
      <c r="I115" s="43">
        <f>IF(H115="","",100-H115)</f>
        <v>-2.9345065593182653</v>
      </c>
      <c r="J115" s="44"/>
    </row>
    <row r="116" spans="1:10">
      <c r="A116" s="28" t="s">
        <v>63</v>
      </c>
      <c r="B116" s="41">
        <v>7</v>
      </c>
      <c r="C116" s="41">
        <v>361.68</v>
      </c>
      <c r="D116" s="55">
        <f t="shared" si="8"/>
        <v>1.9027785246075088</v>
      </c>
      <c r="E116" s="42">
        <v>1.0195418931099254</v>
      </c>
      <c r="F116" s="42">
        <f t="shared" si="9"/>
        <v>1.9399624191472502</v>
      </c>
      <c r="G116" s="42">
        <f>IF(F116="","",F116*$F$8/1000)</f>
        <v>1.1639774514883503</v>
      </c>
      <c r="H116" s="43">
        <f>IF(G116="","",G116/$F$7*100)</f>
        <v>19.399624191472505</v>
      </c>
      <c r="I116" s="43">
        <f>IF(H116="","",100-H116)</f>
        <v>80.600375808527502</v>
      </c>
      <c r="J116" s="44"/>
    </row>
    <row r="117" spans="1:10">
      <c r="A117" s="28" t="s">
        <v>64</v>
      </c>
      <c r="B117" s="41">
        <v>4</v>
      </c>
      <c r="C117" s="41"/>
      <c r="D117" s="42" t="str">
        <f t="shared" si="8"/>
        <v/>
      </c>
      <c r="E117" s="42"/>
      <c r="F117" s="42" t="str">
        <f t="shared" si="9"/>
        <v/>
      </c>
      <c r="G117" s="42" t="str">
        <f>IF(F117="","",F117*$F$8/1000)</f>
        <v/>
      </c>
      <c r="H117" s="43" t="str">
        <f>IF(G117="","",G117/$F$7*100)</f>
        <v/>
      </c>
      <c r="I117" s="43" t="str">
        <f>IF(H117="","",100-H117)</f>
        <v/>
      </c>
      <c r="J117" s="44"/>
    </row>
    <row r="118" spans="1:10">
      <c r="A118" s="28" t="s">
        <v>64</v>
      </c>
      <c r="B118" s="41">
        <v>5</v>
      </c>
      <c r="C118" s="41"/>
      <c r="D118" s="42" t="str">
        <f t="shared" si="8"/>
        <v/>
      </c>
      <c r="E118" s="42"/>
      <c r="F118" s="42" t="str">
        <f t="shared" si="9"/>
        <v/>
      </c>
      <c r="G118" s="42" t="str">
        <f>IF(F118="","",F118*$F$8/1000)</f>
        <v/>
      </c>
      <c r="H118" s="43" t="str">
        <f>IF(G118="","",G118/$F$7*100)</f>
        <v/>
      </c>
      <c r="I118" s="43" t="str">
        <f>IF(H118="","",100-H118)</f>
        <v/>
      </c>
      <c r="J118" s="44"/>
    </row>
    <row r="119" spans="1:10">
      <c r="A119" s="45" t="s">
        <v>49</v>
      </c>
      <c r="B119" s="46"/>
      <c r="C119" s="46"/>
      <c r="D119" s="47" t="str">
        <f t="shared" si="8"/>
        <v/>
      </c>
      <c r="E119" s="47" t="str">
        <f>IF(D119="","",VALUE(LEFT(A119,FIND(" ",A119)-1))/D119)</f>
        <v/>
      </c>
      <c r="F119" s="47" t="str">
        <f t="shared" si="9"/>
        <v/>
      </c>
      <c r="G119" s="47"/>
      <c r="H119" s="48"/>
      <c r="I119" s="48"/>
      <c r="J119" s="49"/>
    </row>
    <row r="120" spans="1:10">
      <c r="A120" s="28" t="s">
        <v>64</v>
      </c>
      <c r="B120" s="41">
        <v>6</v>
      </c>
      <c r="C120" s="41"/>
      <c r="D120" s="42" t="str">
        <f t="shared" si="8"/>
        <v/>
      </c>
      <c r="E120" s="42" t="str">
        <f>IF($E$125="","",$E$125)</f>
        <v/>
      </c>
      <c r="F120" s="42" t="str">
        <f t="shared" si="9"/>
        <v/>
      </c>
      <c r="G120" s="42" t="str">
        <f>IF(F120="","",F120*$F$8/1000)</f>
        <v/>
      </c>
      <c r="H120" s="43" t="str">
        <f>IF(G120="","",G120/$F$7*100)</f>
        <v/>
      </c>
      <c r="I120" s="43" t="str">
        <f>IF(H120="","",100-H120)</f>
        <v/>
      </c>
      <c r="J120" s="44"/>
    </row>
    <row r="121" spans="1:10">
      <c r="A121" s="28" t="s">
        <v>64</v>
      </c>
      <c r="B121" s="41">
        <v>7</v>
      </c>
      <c r="C121" s="41"/>
      <c r="D121" s="42" t="str">
        <f t="shared" si="8"/>
        <v/>
      </c>
      <c r="E121" s="42" t="str">
        <f>IF($E$125="","",$E$125)</f>
        <v/>
      </c>
      <c r="F121" s="42" t="str">
        <f t="shared" si="9"/>
        <v/>
      </c>
      <c r="G121" s="42" t="str">
        <f>IF(F121="","",F121*$F$8/1000)</f>
        <v/>
      </c>
      <c r="H121" s="43" t="str">
        <f>IF(G121="","",G121/$F$7*100)</f>
        <v/>
      </c>
      <c r="I121" s="43" t="str">
        <f>IF(H121="","",100-H121)</f>
        <v/>
      </c>
      <c r="J121" s="44"/>
    </row>
    <row r="122" spans="1:10">
      <c r="A122" s="28" t="s">
        <v>64</v>
      </c>
      <c r="B122" s="41">
        <v>8</v>
      </c>
      <c r="C122" s="41"/>
      <c r="D122" s="42" t="str">
        <f t="shared" si="8"/>
        <v/>
      </c>
      <c r="E122" s="42" t="str">
        <f>IF($E$125="","",$E$125)</f>
        <v/>
      </c>
      <c r="F122" s="42" t="str">
        <f t="shared" si="9"/>
        <v/>
      </c>
      <c r="G122" s="42" t="str">
        <f>IF(F122="","",F122*$F$8/1000)</f>
        <v/>
      </c>
      <c r="H122" s="43" t="str">
        <f>IF(G122="","",G122/$F$7*100)</f>
        <v/>
      </c>
      <c r="I122" s="43" t="str">
        <f>IF(H122="","",100-H122)</f>
        <v/>
      </c>
      <c r="J122" s="44"/>
    </row>
    <row r="123" spans="1:10">
      <c r="A123" s="28" t="s">
        <v>64</v>
      </c>
      <c r="B123" s="41">
        <v>9</v>
      </c>
      <c r="C123" s="41"/>
      <c r="D123" s="42" t="str">
        <f t="shared" si="8"/>
        <v/>
      </c>
      <c r="E123" s="42" t="str">
        <f>IF($E$125="","",$E$125)</f>
        <v/>
      </c>
      <c r="F123" s="42" t="str">
        <f t="shared" si="9"/>
        <v/>
      </c>
      <c r="G123" s="42" t="str">
        <f>IF(F123="","",F123*$F$8/1000)</f>
        <v/>
      </c>
      <c r="H123" s="43" t="str">
        <f>IF(G123="","",G123/$F$7*100)</f>
        <v/>
      </c>
      <c r="I123" s="43" t="str">
        <f>IF(H123="","",100-H123)</f>
        <v/>
      </c>
      <c r="J123" s="44"/>
    </row>
    <row r="124" spans="1:10">
      <c r="A124" s="28" t="s">
        <v>64</v>
      </c>
      <c r="B124" s="41">
        <v>10</v>
      </c>
      <c r="C124" s="41"/>
      <c r="D124" s="42" t="str">
        <f t="shared" si="8"/>
        <v/>
      </c>
      <c r="E124" s="42" t="str">
        <f>IF($E$125="","",$E$125)</f>
        <v/>
      </c>
      <c r="F124" s="42" t="str">
        <f t="shared" si="9"/>
        <v/>
      </c>
      <c r="G124" s="42" t="str">
        <f>IF(F124="","",F124*$F$8/1000)</f>
        <v/>
      </c>
      <c r="H124" s="43" t="str">
        <f>IF(G124="","",G124/$F$7*100)</f>
        <v/>
      </c>
      <c r="I124" s="43" t="str">
        <f>IF(H124="","",100-H124)</f>
        <v/>
      </c>
      <c r="J124" s="44"/>
    </row>
    <row r="125" spans="1:10">
      <c r="A125" s="45" t="s">
        <v>49</v>
      </c>
      <c r="B125" s="46"/>
      <c r="C125" s="46"/>
      <c r="D125" s="47" t="str">
        <f t="shared" si="8"/>
        <v/>
      </c>
      <c r="E125" s="47" t="str">
        <f>IF(D125="","",VALUE(LEFT(A125,FIND(" ",A125)-1))/D125)</f>
        <v/>
      </c>
      <c r="F125" s="47" t="str">
        <f t="shared" si="9"/>
        <v/>
      </c>
      <c r="G125" s="47"/>
      <c r="H125" s="48"/>
      <c r="I125" s="48"/>
      <c r="J125" s="49"/>
    </row>
    <row r="126" spans="1:10">
      <c r="A126" s="28" t="s">
        <v>64</v>
      </c>
      <c r="B126" s="41"/>
      <c r="C126" s="41"/>
      <c r="D126" s="42" t="str">
        <f t="shared" si="8"/>
        <v/>
      </c>
      <c r="E126" s="42" t="str">
        <f>IF($E$131="","",$E$131)</f>
        <v/>
      </c>
      <c r="F126" s="42" t="str">
        <f t="shared" si="9"/>
        <v/>
      </c>
      <c r="G126" s="42" t="str">
        <f>IF(F126="","",F126*$F$8/1000)</f>
        <v/>
      </c>
      <c r="H126" s="43" t="str">
        <f>IF(G126="","",G126/$F$7*100)</f>
        <v/>
      </c>
      <c r="I126" s="43" t="str">
        <f>IF(H126="","",100-H126)</f>
        <v/>
      </c>
      <c r="J126" s="44"/>
    </row>
    <row r="127" spans="1:10">
      <c r="A127" s="28" t="s">
        <v>65</v>
      </c>
      <c r="B127" s="41">
        <v>4</v>
      </c>
      <c r="C127" s="41"/>
      <c r="D127" s="42" t="str">
        <f t="shared" si="8"/>
        <v/>
      </c>
      <c r="E127" s="42" t="str">
        <f>IF($E$131="","",$E$131)</f>
        <v/>
      </c>
      <c r="F127" s="42" t="str">
        <f t="shared" si="9"/>
        <v/>
      </c>
      <c r="G127" s="42" t="str">
        <f>IF(F127="","",F127*$F$8/1000)</f>
        <v/>
      </c>
      <c r="H127" s="43" t="str">
        <f>IF(G127="","",G127/$F$7*100)</f>
        <v/>
      </c>
      <c r="I127" s="43" t="str">
        <f>IF(H127="","",100-H127)</f>
        <v/>
      </c>
      <c r="J127" s="44"/>
    </row>
    <row r="128" spans="1:10">
      <c r="A128" s="28" t="s">
        <v>65</v>
      </c>
      <c r="B128" s="41">
        <v>5</v>
      </c>
      <c r="C128" s="41"/>
      <c r="D128" s="42" t="str">
        <f t="shared" si="8"/>
        <v/>
      </c>
      <c r="E128" s="42" t="str">
        <f>IF($E$131="","",$E$131)</f>
        <v/>
      </c>
      <c r="F128" s="42" t="str">
        <f t="shared" si="9"/>
        <v/>
      </c>
      <c r="G128" s="42" t="str">
        <f>IF(F128="","",F128*$F$8/1000)</f>
        <v/>
      </c>
      <c r="H128" s="43" t="str">
        <f>IF(G128="","",G128/$F$7*100)</f>
        <v/>
      </c>
      <c r="I128" s="43" t="str">
        <f>IF(H128="","",100-H128)</f>
        <v/>
      </c>
      <c r="J128" s="44"/>
    </row>
    <row r="129" spans="1:10">
      <c r="A129" s="28" t="s">
        <v>65</v>
      </c>
      <c r="B129" s="41">
        <v>6</v>
      </c>
      <c r="C129" s="41"/>
      <c r="D129" s="42" t="str">
        <f t="shared" si="8"/>
        <v/>
      </c>
      <c r="E129" s="42" t="str">
        <f>IF($E$131="","",$E$131)</f>
        <v/>
      </c>
      <c r="F129" s="42" t="str">
        <f t="shared" si="9"/>
        <v/>
      </c>
      <c r="G129" s="42" t="str">
        <f>IF(F129="","",F129*$F$8/1000)</f>
        <v/>
      </c>
      <c r="H129" s="43" t="str">
        <f>IF(G129="","",G129/$F$7*100)</f>
        <v/>
      </c>
      <c r="I129" s="43" t="str">
        <f>IF(H129="","",100-H129)</f>
        <v/>
      </c>
      <c r="J129" s="44"/>
    </row>
    <row r="130" spans="1:10">
      <c r="A130" s="28" t="s">
        <v>65</v>
      </c>
      <c r="B130" s="41">
        <v>7</v>
      </c>
      <c r="C130" s="41"/>
      <c r="D130" s="42" t="str">
        <f t="shared" si="8"/>
        <v/>
      </c>
      <c r="E130" s="42" t="str">
        <f>IF($E$131="","",$E$131)</f>
        <v/>
      </c>
      <c r="F130" s="42" t="str">
        <f t="shared" si="9"/>
        <v/>
      </c>
      <c r="G130" s="42" t="str">
        <f>IF(F130="","",F130*$F$8/1000)</f>
        <v/>
      </c>
      <c r="H130" s="43" t="str">
        <f>IF(G130="","",G130/$F$7*100)</f>
        <v/>
      </c>
      <c r="I130" s="43" t="str">
        <f>IF(H130="","",100-H130)</f>
        <v/>
      </c>
      <c r="J130" s="44"/>
    </row>
    <row r="131" spans="1:10">
      <c r="A131" s="45" t="s">
        <v>49</v>
      </c>
      <c r="B131" s="46"/>
      <c r="C131" s="46"/>
      <c r="D131" s="47" t="str">
        <f t="shared" si="8"/>
        <v/>
      </c>
      <c r="E131" s="47" t="str">
        <f>IF(D131="","",VALUE(LEFT(A131,FIND(" ",A131)-1))/D131)</f>
        <v/>
      </c>
      <c r="F131" s="47" t="str">
        <f t="shared" si="9"/>
        <v/>
      </c>
      <c r="G131" s="47"/>
      <c r="H131" s="48"/>
      <c r="I131" s="48"/>
      <c r="J131" s="49"/>
    </row>
    <row r="132" spans="1:10">
      <c r="A132" s="28" t="s">
        <v>65</v>
      </c>
      <c r="B132" s="41">
        <v>8</v>
      </c>
      <c r="C132" s="41"/>
      <c r="D132" s="42" t="str">
        <f t="shared" si="8"/>
        <v/>
      </c>
      <c r="E132" s="42" t="str">
        <f>IF($E$136="","",$E$136)</f>
        <v/>
      </c>
      <c r="F132" s="42" t="str">
        <f t="shared" si="9"/>
        <v/>
      </c>
      <c r="G132" s="42" t="str">
        <f>IF(F132="","",F132*$F$8/1000)</f>
        <v/>
      </c>
      <c r="H132" s="43" t="str">
        <f>IF(G132="","",G132/$F$7*100)</f>
        <v/>
      </c>
      <c r="I132" s="43" t="str">
        <f>IF(H132="","",100-H132)</f>
        <v/>
      </c>
      <c r="J132" s="44"/>
    </row>
    <row r="133" spans="1:10">
      <c r="A133" s="28" t="s">
        <v>65</v>
      </c>
      <c r="B133" s="41">
        <v>9</v>
      </c>
      <c r="C133" s="41"/>
      <c r="D133" s="42" t="str">
        <f t="shared" si="8"/>
        <v/>
      </c>
      <c r="E133" s="42" t="str">
        <f>IF($E$136="","",$E$136)</f>
        <v/>
      </c>
      <c r="F133" s="42" t="str">
        <f t="shared" si="9"/>
        <v/>
      </c>
      <c r="G133" s="42" t="str">
        <f>IF(F133="","",F133*$F$8/1000)</f>
        <v/>
      </c>
      <c r="H133" s="43" t="str">
        <f>IF(G133="","",G133/$F$7*100)</f>
        <v/>
      </c>
      <c r="I133" s="43" t="str">
        <f>IF(H133="","",100-H133)</f>
        <v/>
      </c>
      <c r="J133" s="44"/>
    </row>
    <row r="134" spans="1:10">
      <c r="A134" s="28" t="s">
        <v>65</v>
      </c>
      <c r="B134" s="41">
        <v>10</v>
      </c>
      <c r="C134" s="41"/>
      <c r="D134" s="42" t="str">
        <f t="shared" si="8"/>
        <v/>
      </c>
      <c r="E134" s="42" t="str">
        <f>IF($E$136="","",$E$136)</f>
        <v/>
      </c>
      <c r="F134" s="42" t="str">
        <f t="shared" si="9"/>
        <v/>
      </c>
      <c r="G134" s="42" t="str">
        <f>IF(F134="","",F134*$F$8/1000)</f>
        <v/>
      </c>
      <c r="H134" s="43" t="str">
        <f>IF(G134="","",G134/$F$7*100)</f>
        <v/>
      </c>
      <c r="I134" s="43" t="str">
        <f>IF(H134="","",100-H134)</f>
        <v/>
      </c>
      <c r="J134" s="44"/>
    </row>
    <row r="135" spans="1:10">
      <c r="A135" s="28" t="s">
        <v>65</v>
      </c>
      <c r="B135" s="41"/>
      <c r="C135" s="41"/>
      <c r="D135" s="42" t="str">
        <f t="shared" si="8"/>
        <v/>
      </c>
      <c r="E135" s="42" t="str">
        <f>IF($E$136="","",$E$136)</f>
        <v/>
      </c>
      <c r="F135" s="42" t="str">
        <f t="shared" si="9"/>
        <v/>
      </c>
      <c r="G135" s="42" t="str">
        <f>IF(F135="","",F135*$F$8/1000)</f>
        <v/>
      </c>
      <c r="H135" s="43" t="str">
        <f>IF(G135="","",G135/$F$7*100)</f>
        <v/>
      </c>
      <c r="I135" s="43" t="str">
        <f>IF(H135="","",100-H135)</f>
        <v/>
      </c>
      <c r="J135" s="44"/>
    </row>
    <row r="136" spans="1:10">
      <c r="A136" s="45" t="s">
        <v>61</v>
      </c>
      <c r="B136" s="46"/>
      <c r="C136" s="46"/>
      <c r="D136" s="42" t="str">
        <f t="shared" ref="D136:D145" si="10">IF(C136="","",(C136-$M$5)/$M$4)</f>
        <v/>
      </c>
      <c r="E136" s="47" t="str">
        <f>IF(D136="","",VALUE(LEFT(A136,FIND(" ",A136)-1))/D136)</f>
        <v/>
      </c>
      <c r="F136" s="47" t="str">
        <f t="shared" si="9"/>
        <v/>
      </c>
      <c r="G136" s="47"/>
      <c r="H136" s="48"/>
      <c r="I136" s="48"/>
      <c r="J136" s="49"/>
    </row>
    <row r="137" spans="1:10">
      <c r="B137" s="41">
        <v>1</v>
      </c>
      <c r="C137" s="17">
        <v>291.51</v>
      </c>
      <c r="D137" s="57">
        <f>IF(C137="","",(C137-$U$5)/$U$4)</f>
        <v>3.0355793058705967</v>
      </c>
      <c r="E137" s="17">
        <v>1.210071384145611</v>
      </c>
      <c r="F137" s="60">
        <f t="shared" si="9"/>
        <v>3.6732676523386059</v>
      </c>
      <c r="G137" s="42">
        <f>IF(F137="","",F137*$F$8/1000)</f>
        <v>2.2039605914031637</v>
      </c>
      <c r="H137" s="43">
        <f>IF(G137="","",G137/$F$7*100)</f>
        <v>36.732676523386061</v>
      </c>
      <c r="I137" s="43">
        <f>IF(H137="","",100-H137)</f>
        <v>63.267323476613939</v>
      </c>
    </row>
    <row r="138" spans="1:10">
      <c r="B138" s="41">
        <v>2</v>
      </c>
      <c r="C138" s="17">
        <v>203.83</v>
      </c>
      <c r="D138" s="57">
        <f t="shared" ref="D138:D144" si="11">IF(C138="","",(C138-$U$5)/$U$4)</f>
        <v>2.1977483120897889</v>
      </c>
      <c r="E138" s="17">
        <v>1.210071384145611</v>
      </c>
      <c r="F138" s="60">
        <f t="shared" si="9"/>
        <v>2.659432342014171</v>
      </c>
      <c r="G138" s="42">
        <f t="shared" ref="G138:G144" si="12">IF(F138="","",F138*$F$8/1000)</f>
        <v>1.5956594052085027</v>
      </c>
      <c r="H138" s="43">
        <f t="shared" ref="H138:H144" si="13">IF(G138="","",G138/$F$7*100)</f>
        <v>26.594323420141713</v>
      </c>
      <c r="I138" s="43">
        <f t="shared" ref="I138:I144" si="14">IF(H138="","",100-H138)</f>
        <v>73.405676579858294</v>
      </c>
    </row>
    <row r="139" spans="1:10">
      <c r="B139" s="41">
        <v>3</v>
      </c>
      <c r="C139" s="17">
        <v>207.33</v>
      </c>
      <c r="D139" s="57">
        <f t="shared" si="11"/>
        <v>2.231192751850656</v>
      </c>
      <c r="E139" s="17">
        <v>1.210071384145611</v>
      </c>
      <c r="F139" s="60">
        <f t="shared" si="9"/>
        <v>2.6999025015275779</v>
      </c>
      <c r="G139" s="42">
        <f t="shared" si="12"/>
        <v>1.6199415009165468</v>
      </c>
      <c r="H139" s="43">
        <f t="shared" si="13"/>
        <v>26.99902501527578</v>
      </c>
      <c r="I139" s="43">
        <f t="shared" si="14"/>
        <v>73.000974984724223</v>
      </c>
    </row>
    <row r="140" spans="1:10">
      <c r="B140" s="41">
        <v>4</v>
      </c>
      <c r="C140" s="17">
        <v>536.03</v>
      </c>
      <c r="D140" s="57">
        <f t="shared" si="11"/>
        <v>5.372103423106946</v>
      </c>
      <c r="E140" s="17">
        <v>1.210071384145611</v>
      </c>
      <c r="F140" s="60">
        <f t="shared" si="9"/>
        <v>6.5006286249723972</v>
      </c>
      <c r="G140" s="42">
        <f t="shared" si="12"/>
        <v>3.9003771749834382</v>
      </c>
      <c r="H140" s="43">
        <f t="shared" si="13"/>
        <v>65.006286249723971</v>
      </c>
      <c r="I140" s="43">
        <f t="shared" si="14"/>
        <v>34.993713750276029</v>
      </c>
    </row>
    <row r="141" spans="1:10">
      <c r="B141" s="41">
        <v>5</v>
      </c>
      <c r="C141" s="17">
        <v>262.52</v>
      </c>
      <c r="D141" s="57">
        <f t="shared" si="11"/>
        <v>2.7585637891084431</v>
      </c>
      <c r="E141" s="17">
        <v>1.210071384145611</v>
      </c>
      <c r="F141" s="60">
        <f t="shared" si="9"/>
        <v>3.3380591025404152</v>
      </c>
      <c r="G141" s="42">
        <f t="shared" si="12"/>
        <v>2.0028354615242492</v>
      </c>
      <c r="H141" s="43">
        <f t="shared" si="13"/>
        <v>33.380591025404158</v>
      </c>
      <c r="I141" s="43">
        <f t="shared" si="14"/>
        <v>66.619408974595842</v>
      </c>
    </row>
    <row r="142" spans="1:10">
      <c r="B142" s="41">
        <v>6</v>
      </c>
      <c r="C142" s="17">
        <v>173.36</v>
      </c>
      <c r="D142" s="57">
        <f t="shared" si="11"/>
        <v>1.9065905750858974</v>
      </c>
      <c r="E142" s="17">
        <v>1.210071384145611</v>
      </c>
      <c r="F142" s="60">
        <f t="shared" si="9"/>
        <v>2.3071106961931682</v>
      </c>
      <c r="G142" s="42">
        <f t="shared" si="12"/>
        <v>1.3842664177159008</v>
      </c>
      <c r="H142" s="43">
        <f t="shared" si="13"/>
        <v>23.07110696193168</v>
      </c>
      <c r="I142" s="43">
        <f t="shared" si="14"/>
        <v>76.928893038068324</v>
      </c>
    </row>
    <row r="143" spans="1:10">
      <c r="B143" s="41">
        <v>7</v>
      </c>
      <c r="C143" s="17">
        <v>192.79</v>
      </c>
      <c r="D143" s="57">
        <f t="shared" si="11"/>
        <v>2.0922549935297967</v>
      </c>
      <c r="E143" s="17">
        <v>1.210071384145611</v>
      </c>
      <c r="F143" s="60">
        <f t="shared" si="9"/>
        <v>2.5317778960061674</v>
      </c>
      <c r="G143" s="42">
        <f t="shared" si="12"/>
        <v>1.5190667376037004</v>
      </c>
      <c r="H143" s="43">
        <f t="shared" si="13"/>
        <v>25.31777896006167</v>
      </c>
      <c r="I143" s="43">
        <f t="shared" si="14"/>
        <v>74.682221039938327</v>
      </c>
    </row>
    <row r="144" spans="1:10">
      <c r="B144" s="41">
        <v>8</v>
      </c>
      <c r="C144" s="17">
        <v>536.29</v>
      </c>
      <c r="D144" s="57">
        <f t="shared" si="11"/>
        <v>5.3745878672034673</v>
      </c>
      <c r="E144" s="17">
        <v>1.210071384145611</v>
      </c>
      <c r="F144" s="60">
        <f t="shared" si="9"/>
        <v>6.5036349796791066</v>
      </c>
      <c r="G144" s="42">
        <f t="shared" si="12"/>
        <v>3.9021809878074643</v>
      </c>
      <c r="H144" s="43">
        <f t="shared" si="13"/>
        <v>65.036349796791072</v>
      </c>
      <c r="I144" s="43">
        <f t="shared" si="14"/>
        <v>34.963650203208928</v>
      </c>
    </row>
    <row r="145" spans="1:10">
      <c r="A145" s="45" t="s">
        <v>61</v>
      </c>
      <c r="B145" s="46"/>
      <c r="C145" s="46">
        <v>146.80000000000001</v>
      </c>
      <c r="D145" s="57">
        <f>IF(C145="","",(C145-$U$5)/$U$4)</f>
        <v>1.652795055072003</v>
      </c>
      <c r="E145" s="47">
        <f>IF(D145="","",VALUE(LEFT(A145,FIND(" ",A145)-1))/D145)</f>
        <v>1.210071384145611</v>
      </c>
      <c r="F145" s="47">
        <f t="shared" ref="F145" si="15">IF(D145="","",D145*E145)</f>
        <v>2</v>
      </c>
      <c r="G145" s="47"/>
      <c r="H145" s="48"/>
      <c r="I145" s="48"/>
      <c r="J145" s="49"/>
    </row>
  </sheetData>
  <mergeCells count="1">
    <mergeCell ref="A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opLeftCell="A4" zoomScale="70" zoomScaleNormal="70" workbookViewId="0">
      <selection activeCell="A39" sqref="A39:A43"/>
    </sheetView>
  </sheetViews>
  <sheetFormatPr defaultRowHeight="14"/>
  <cols>
    <col min="1" max="1" width="22" customWidth="1"/>
    <col min="2" max="2" width="30" customWidth="1"/>
    <col min="3" max="3" width="18" customWidth="1"/>
    <col min="4" max="4" width="31" customWidth="1"/>
    <col min="5" max="5" width="22" customWidth="1"/>
    <col min="6" max="7" width="14" customWidth="1"/>
    <col min="8" max="8" width="34" customWidth="1"/>
  </cols>
  <sheetData>
    <row r="1" spans="1:8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13</v>
      </c>
    </row>
    <row r="2" spans="1:8">
      <c r="A2" s="4" t="s">
        <v>14</v>
      </c>
      <c r="B2" s="5" t="s">
        <v>15</v>
      </c>
      <c r="C2" s="13">
        <v>0.1</v>
      </c>
      <c r="D2" s="13">
        <v>0.9</v>
      </c>
      <c r="E2" s="13">
        <v>0</v>
      </c>
      <c r="F2" s="13">
        <v>0</v>
      </c>
      <c r="G2" s="13">
        <v>1</v>
      </c>
      <c r="H2" s="6" t="s">
        <v>16</v>
      </c>
    </row>
    <row r="3" spans="1:8" ht="16.5">
      <c r="A3" s="7" t="s">
        <v>17</v>
      </c>
      <c r="B3" s="8" t="s">
        <v>18</v>
      </c>
      <c r="C3" s="14">
        <v>0.1</v>
      </c>
      <c r="D3" s="14">
        <v>0</v>
      </c>
      <c r="E3" s="14">
        <v>0.1</v>
      </c>
      <c r="F3" s="14">
        <v>5.8</v>
      </c>
      <c r="G3" s="14">
        <v>6</v>
      </c>
      <c r="H3" s="16" t="s">
        <v>25</v>
      </c>
    </row>
    <row r="4" spans="1:8">
      <c r="A4" s="7" t="s">
        <v>19</v>
      </c>
      <c r="B4" s="8" t="s">
        <v>20</v>
      </c>
      <c r="C4" s="14"/>
      <c r="D4" s="14"/>
      <c r="E4" s="14"/>
      <c r="F4" s="14"/>
      <c r="G4" s="14"/>
      <c r="H4" s="9" t="s">
        <v>21</v>
      </c>
    </row>
    <row r="5" spans="1:8">
      <c r="A5" s="10" t="s">
        <v>22</v>
      </c>
      <c r="B5" s="11" t="s">
        <v>23</v>
      </c>
      <c r="C5" s="15"/>
      <c r="D5" s="15"/>
      <c r="E5" s="15"/>
      <c r="F5" s="15"/>
      <c r="G5" s="15"/>
      <c r="H5" s="12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AFS数据</vt:lpstr>
      <vt:lpstr>稀释记录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世琛 郭</cp:lastModifiedBy>
  <dcterms:created xsi:type="dcterms:W3CDTF">2026-09-22T09:46:46Z</dcterms:created>
  <dcterms:modified xsi:type="dcterms:W3CDTF">2026-09-24T03:59:08Z</dcterms:modified>
</cp:coreProperties>
</file>