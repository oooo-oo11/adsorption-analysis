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锰-SbV\"/>
    </mc:Choice>
  </mc:AlternateContent>
  <xr:revisionPtr revIDLastSave="0" documentId="13_ncr:1_{9F5165BB-3EB5-4118-B517-44F86ACBA0C6}" xr6:coauthVersionLast="47" xr6:coauthVersionMax="47" xr10:uidLastSave="{00000000-0000-0000-0000-000000000000}"/>
  <bookViews>
    <workbookView xWindow="90" yWindow="380" windowWidth="19110" windowHeight="10420" xr2:uid="{00000000-000D-0000-FFFF-FFFF00000000}"/>
  </bookViews>
  <sheets>
    <sheet name="AFS数据" sheetId="1" r:id="rId1"/>
    <sheet name="稀释记录" sheetId="2" r:id="rId2"/>
  </sheets>
  <calcPr calcId="191029"/>
</workbook>
</file>

<file path=xl/calcChain.xml><?xml version="1.0" encoding="utf-8"?>
<calcChain xmlns="http://schemas.openxmlformats.org/spreadsheetml/2006/main">
  <c r="F66" i="1" l="1"/>
  <c r="F61" i="1"/>
  <c r="F56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52" i="1"/>
  <c r="T5" i="1"/>
  <c r="T4" i="1"/>
  <c r="T3" i="1"/>
  <c r="F86" i="1"/>
  <c r="E82" i="1"/>
  <c r="E83" i="1"/>
  <c r="E84" i="1"/>
  <c r="E85" i="1"/>
  <c r="E86" i="1"/>
  <c r="E87" i="1"/>
  <c r="E88" i="1"/>
  <c r="F88" i="1" s="1"/>
  <c r="E89" i="1"/>
  <c r="F89" i="1" s="1"/>
  <c r="E90" i="1"/>
  <c r="F90" i="1" s="1"/>
  <c r="E81" i="1"/>
  <c r="E51" i="1" l="1"/>
  <c r="E42" i="1"/>
  <c r="E43" i="1"/>
  <c r="E44" i="1"/>
  <c r="E45" i="1"/>
  <c r="E46" i="1"/>
  <c r="E47" i="1"/>
  <c r="E48" i="1"/>
  <c r="E49" i="1"/>
  <c r="E50" i="1"/>
  <c r="E41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3" i="1"/>
  <c r="E12" i="1"/>
  <c r="E14" i="1"/>
  <c r="E15" i="1"/>
  <c r="E11" i="1"/>
  <c r="F32" i="1" l="1"/>
  <c r="F33" i="1"/>
  <c r="F34" i="1"/>
  <c r="F35" i="1"/>
  <c r="F37" i="1"/>
  <c r="F38" i="1"/>
  <c r="F39" i="1"/>
  <c r="F40" i="1"/>
  <c r="F36" i="1"/>
  <c r="M5" i="1" l="1"/>
  <c r="M4" i="1"/>
  <c r="M3" i="1"/>
  <c r="F14" i="1"/>
  <c r="F81" i="1"/>
  <c r="G70" i="1"/>
  <c r="H70" i="1" s="1"/>
  <c r="I70" i="1" s="1"/>
  <c r="J70" i="1" s="1"/>
  <c r="F69" i="1"/>
  <c r="F62" i="1"/>
  <c r="G51" i="1"/>
  <c r="G50" i="1"/>
  <c r="H50" i="1" s="1"/>
  <c r="I50" i="1" s="1"/>
  <c r="J50" i="1" s="1"/>
  <c r="G49" i="1"/>
  <c r="H49" i="1" s="1"/>
  <c r="I49" i="1" s="1"/>
  <c r="J49" i="1" s="1"/>
  <c r="F48" i="1"/>
  <c r="F47" i="1"/>
  <c r="F46" i="1"/>
  <c r="G45" i="1"/>
  <c r="H45" i="1" s="1"/>
  <c r="I45" i="1" s="1"/>
  <c r="J45" i="1" s="1"/>
  <c r="G43" i="1"/>
  <c r="H43" i="1" s="1"/>
  <c r="I43" i="1" s="1"/>
  <c r="J43" i="1" s="1"/>
  <c r="F42" i="1"/>
  <c r="F41" i="1"/>
  <c r="G31" i="1"/>
  <c r="G30" i="1"/>
  <c r="H30" i="1" s="1"/>
  <c r="I30" i="1" s="1"/>
  <c r="J30" i="1" s="1"/>
  <c r="G28" i="1"/>
  <c r="H28" i="1" s="1"/>
  <c r="I28" i="1" s="1"/>
  <c r="J28" i="1" s="1"/>
  <c r="G27" i="1"/>
  <c r="H27" i="1" s="1"/>
  <c r="I27" i="1" s="1"/>
  <c r="J27" i="1" s="1"/>
  <c r="G26" i="1"/>
  <c r="F25" i="1"/>
  <c r="F24" i="1"/>
  <c r="G23" i="1"/>
  <c r="H23" i="1" s="1"/>
  <c r="I23" i="1" s="1"/>
  <c r="J23" i="1" s="1"/>
  <c r="F21" i="1"/>
  <c r="G20" i="1"/>
  <c r="H20" i="1" s="1"/>
  <c r="I20" i="1" s="1"/>
  <c r="J20" i="1" s="1"/>
  <c r="G19" i="1"/>
  <c r="H19" i="1" s="1"/>
  <c r="I19" i="1" s="1"/>
  <c r="J19" i="1" s="1"/>
  <c r="G18" i="1"/>
  <c r="H18" i="1" s="1"/>
  <c r="I18" i="1" s="1"/>
  <c r="J18" i="1" s="1"/>
  <c r="G17" i="1"/>
  <c r="H17" i="1" s="1"/>
  <c r="I17" i="1" s="1"/>
  <c r="J17" i="1" s="1"/>
  <c r="G16" i="1"/>
  <c r="F15" i="1"/>
  <c r="F13" i="1"/>
  <c r="G12" i="1"/>
  <c r="H12" i="1" s="1"/>
  <c r="I12" i="1" s="1"/>
  <c r="J12" i="1" s="1"/>
  <c r="G11" i="1"/>
  <c r="F5" i="1"/>
  <c r="F4" i="1"/>
  <c r="E33" i="1" s="1"/>
  <c r="F3" i="1"/>
  <c r="E36" i="1" s="1"/>
  <c r="G14" i="1" l="1"/>
  <c r="H14" i="1" s="1"/>
  <c r="I14" i="1" s="1"/>
  <c r="J14" i="1" s="1"/>
  <c r="E40" i="1"/>
  <c r="F65" i="1"/>
  <c r="G65" i="1" s="1"/>
  <c r="H65" i="1" s="1"/>
  <c r="I65" i="1" s="1"/>
  <c r="J65" i="1" s="1"/>
  <c r="E77" i="1"/>
  <c r="G13" i="1"/>
  <c r="H13" i="1" s="1"/>
  <c r="I13" i="1" s="1"/>
  <c r="J13" i="1" s="1"/>
  <c r="F50" i="1"/>
  <c r="E73" i="1"/>
  <c r="E80" i="1"/>
  <c r="G54" i="1"/>
  <c r="H54" i="1" s="1"/>
  <c r="I54" i="1" s="1"/>
  <c r="J54" i="1" s="1"/>
  <c r="F17" i="1"/>
  <c r="F43" i="1"/>
  <c r="G24" i="1"/>
  <c r="H24" i="1" s="1"/>
  <c r="I24" i="1" s="1"/>
  <c r="J24" i="1" s="1"/>
  <c r="G46" i="1"/>
  <c r="G61" i="1"/>
  <c r="G62" i="1"/>
  <c r="H62" i="1" s="1"/>
  <c r="I62" i="1" s="1"/>
  <c r="J62" i="1" s="1"/>
  <c r="F28" i="1"/>
  <c r="G40" i="1"/>
  <c r="H40" i="1" s="1"/>
  <c r="I40" i="1" s="1"/>
  <c r="J40" i="1" s="1"/>
  <c r="F29" i="1"/>
  <c r="G29" i="1"/>
  <c r="H29" i="1" s="1"/>
  <c r="I29" i="1" s="1"/>
  <c r="J29" i="1" s="1"/>
  <c r="G84" i="1"/>
  <c r="H84" i="1" s="1"/>
  <c r="I84" i="1" s="1"/>
  <c r="J84" i="1" s="1"/>
  <c r="G21" i="1"/>
  <c r="F58" i="1"/>
  <c r="G58" i="1" s="1"/>
  <c r="H58" i="1" s="1"/>
  <c r="I58" i="1" s="1"/>
  <c r="J58" i="1" s="1"/>
  <c r="G66" i="1"/>
  <c r="G44" i="1"/>
  <c r="H44" i="1" s="1"/>
  <c r="I44" i="1" s="1"/>
  <c r="J44" i="1" s="1"/>
  <c r="F44" i="1"/>
  <c r="G69" i="1"/>
  <c r="H69" i="1" s="1"/>
  <c r="I69" i="1" s="1"/>
  <c r="J69" i="1" s="1"/>
  <c r="G88" i="1"/>
  <c r="H88" i="1" s="1"/>
  <c r="I88" i="1" s="1"/>
  <c r="J88" i="1" s="1"/>
  <c r="G47" i="1"/>
  <c r="H47" i="1" s="1"/>
  <c r="I47" i="1" s="1"/>
  <c r="J47" i="1" s="1"/>
  <c r="G25" i="1"/>
  <c r="H25" i="1" s="1"/>
  <c r="I25" i="1" s="1"/>
  <c r="J25" i="1" s="1"/>
  <c r="G55" i="1"/>
  <c r="H55" i="1" s="1"/>
  <c r="I55" i="1" s="1"/>
  <c r="J55" i="1" s="1"/>
  <c r="G33" i="1"/>
  <c r="H33" i="1" s="1"/>
  <c r="I33" i="1" s="1"/>
  <c r="J33" i="1" s="1"/>
  <c r="F51" i="1"/>
  <c r="E76" i="1"/>
  <c r="F76" i="1" s="1"/>
  <c r="F22" i="1"/>
  <c r="G22" i="1"/>
  <c r="H22" i="1" s="1"/>
  <c r="I22" i="1" s="1"/>
  <c r="J22" i="1" s="1"/>
  <c r="F18" i="1"/>
  <c r="F70" i="1"/>
  <c r="E78" i="1"/>
  <c r="G52" i="1"/>
  <c r="H52" i="1" s="1"/>
  <c r="I52" i="1" s="1"/>
  <c r="J52" i="1" s="1"/>
  <c r="F11" i="1"/>
  <c r="G48" i="1"/>
  <c r="H48" i="1" s="1"/>
  <c r="I48" i="1" s="1"/>
  <c r="J48" i="1" s="1"/>
  <c r="G82" i="1"/>
  <c r="H82" i="1" s="1"/>
  <c r="I82" i="1" s="1"/>
  <c r="J82" i="1" s="1"/>
  <c r="F26" i="1"/>
  <c r="G15" i="1"/>
  <c r="H15" i="1" s="1"/>
  <c r="I15" i="1" s="1"/>
  <c r="J15" i="1" s="1"/>
  <c r="F30" i="1"/>
  <c r="F49" i="1"/>
  <c r="F60" i="1"/>
  <c r="G60" i="1" s="1"/>
  <c r="H60" i="1" s="1"/>
  <c r="I60" i="1" s="1"/>
  <c r="J60" i="1" s="1"/>
  <c r="E37" i="1"/>
  <c r="G85" i="1"/>
  <c r="H85" i="1" s="1"/>
  <c r="I85" i="1" s="1"/>
  <c r="J85" i="1" s="1"/>
  <c r="G89" i="1"/>
  <c r="H89" i="1" s="1"/>
  <c r="I89" i="1" s="1"/>
  <c r="J89" i="1" s="1"/>
  <c r="G41" i="1"/>
  <c r="E71" i="1"/>
  <c r="F71" i="1" s="1"/>
  <c r="F23" i="1"/>
  <c r="G42" i="1"/>
  <c r="H42" i="1" s="1"/>
  <c r="I42" i="1" s="1"/>
  <c r="J42" i="1" s="1"/>
  <c r="F57" i="1"/>
  <c r="G57" i="1" s="1"/>
  <c r="H57" i="1" s="1"/>
  <c r="I57" i="1" s="1"/>
  <c r="J57" i="1" s="1"/>
  <c r="G90" i="1"/>
  <c r="H90" i="1" s="1"/>
  <c r="I90" i="1" s="1"/>
  <c r="J90" i="1" s="1"/>
  <c r="F16" i="1"/>
  <c r="E35" i="1"/>
  <c r="G83" i="1"/>
  <c r="H83" i="1" s="1"/>
  <c r="I83" i="1" s="1"/>
  <c r="J83" i="1" s="1"/>
  <c r="F87" i="1"/>
  <c r="G87" i="1" s="1"/>
  <c r="H87" i="1" s="1"/>
  <c r="I87" i="1" s="1"/>
  <c r="J87" i="1" s="1"/>
  <c r="F59" i="1"/>
  <c r="G59" i="1" s="1"/>
  <c r="H59" i="1" s="1"/>
  <c r="I59" i="1" s="1"/>
  <c r="J59" i="1" s="1"/>
  <c r="E74" i="1"/>
  <c r="F63" i="1"/>
  <c r="G63" i="1" s="1"/>
  <c r="H63" i="1" s="1"/>
  <c r="I63" i="1" s="1"/>
  <c r="J63" i="1" s="1"/>
  <c r="G81" i="1"/>
  <c r="E34" i="1"/>
  <c r="F19" i="1"/>
  <c r="F45" i="1"/>
  <c r="F12" i="1"/>
  <c r="G56" i="1"/>
  <c r="F27" i="1"/>
  <c r="F64" i="1"/>
  <c r="G64" i="1" s="1"/>
  <c r="H64" i="1" s="1"/>
  <c r="I64" i="1" s="1"/>
  <c r="J64" i="1" s="1"/>
  <c r="E79" i="1"/>
  <c r="G86" i="1"/>
  <c r="E72" i="1"/>
  <c r="F20" i="1"/>
  <c r="E39" i="1"/>
  <c r="F67" i="1"/>
  <c r="G67" i="1" s="1"/>
  <c r="H67" i="1" s="1"/>
  <c r="I67" i="1" s="1"/>
  <c r="J67" i="1" s="1"/>
  <c r="E38" i="1"/>
  <c r="E75" i="1"/>
  <c r="G53" i="1"/>
  <c r="H53" i="1" s="1"/>
  <c r="I53" i="1" s="1"/>
  <c r="J53" i="1" s="1"/>
  <c r="F68" i="1"/>
  <c r="G68" i="1" s="1"/>
  <c r="H68" i="1" s="1"/>
  <c r="I68" i="1" s="1"/>
  <c r="J68" i="1" s="1"/>
  <c r="E32" i="1"/>
  <c r="G36" i="1" l="1"/>
  <c r="G32" i="1"/>
  <c r="H32" i="1" s="1"/>
  <c r="I32" i="1" s="1"/>
  <c r="J32" i="1" s="1"/>
  <c r="G35" i="1"/>
  <c r="H35" i="1" s="1"/>
  <c r="I35" i="1" s="1"/>
  <c r="J35" i="1" s="1"/>
  <c r="G38" i="1"/>
  <c r="H38" i="1" s="1"/>
  <c r="I38" i="1" s="1"/>
  <c r="J38" i="1" s="1"/>
  <c r="G39" i="1"/>
  <c r="H39" i="1" s="1"/>
  <c r="I39" i="1" s="1"/>
  <c r="J39" i="1" s="1"/>
  <c r="F78" i="1"/>
  <c r="G78" i="1" s="1"/>
  <c r="H78" i="1" s="1"/>
  <c r="I78" i="1" s="1"/>
  <c r="J78" i="1" s="1"/>
  <c r="G76" i="1"/>
  <c r="F79" i="1"/>
  <c r="G79" i="1" s="1"/>
  <c r="H79" i="1" s="1"/>
  <c r="I79" i="1" s="1"/>
  <c r="J79" i="1" s="1"/>
  <c r="F73" i="1"/>
  <c r="G73" i="1" s="1"/>
  <c r="H73" i="1" s="1"/>
  <c r="I73" i="1" s="1"/>
  <c r="J73" i="1" s="1"/>
  <c r="G37" i="1"/>
  <c r="H37" i="1" s="1"/>
  <c r="I37" i="1" s="1"/>
  <c r="J37" i="1" s="1"/>
  <c r="G34" i="1"/>
  <c r="H34" i="1" s="1"/>
  <c r="I34" i="1" s="1"/>
  <c r="J34" i="1" s="1"/>
  <c r="F72" i="1" l="1"/>
  <c r="G72" i="1" s="1"/>
  <c r="H72" i="1" s="1"/>
  <c r="I72" i="1" s="1"/>
  <c r="J72" i="1" s="1"/>
  <c r="F74" i="1"/>
  <c r="G74" i="1" s="1"/>
  <c r="H74" i="1" s="1"/>
  <c r="I74" i="1" s="1"/>
  <c r="J74" i="1" s="1"/>
  <c r="F77" i="1"/>
  <c r="G77" i="1" s="1"/>
  <c r="H77" i="1" s="1"/>
  <c r="I77" i="1" s="1"/>
  <c r="J77" i="1" s="1"/>
  <c r="F80" i="1"/>
  <c r="G80" i="1" s="1"/>
  <c r="H80" i="1" s="1"/>
  <c r="I80" i="1" s="1"/>
  <c r="J80" i="1" s="1"/>
  <c r="F75" i="1"/>
  <c r="G75" i="1" s="1"/>
  <c r="H75" i="1" s="1"/>
  <c r="I75" i="1" s="1"/>
  <c r="J75" i="1" s="1"/>
  <c r="G71" i="1"/>
</calcChain>
</file>

<file path=xl/sharedStrings.xml><?xml version="1.0" encoding="utf-8"?>
<sst xmlns="http://schemas.openxmlformats.org/spreadsheetml/2006/main" count="161" uniqueCount="59">
  <si>
    <t>Sb(V) Mn矿等温吸附数据汇总</t>
  </si>
  <si>
    <t>标准编号</t>
  </si>
  <si>
    <t>实测荧光值</t>
  </si>
  <si>
    <t>标线参数</t>
  </si>
  <si>
    <t>结果</t>
  </si>
  <si>
    <t>空白</t>
  </si>
  <si>
    <t>斜率</t>
  </si>
  <si>
    <t>STD-1</t>
  </si>
  <si>
    <t>截距</t>
  </si>
  <si>
    <t>STD-2</t>
  </si>
  <si>
    <t>R²</t>
  </si>
  <si>
    <t>STD-5</t>
  </si>
  <si>
    <t>STD-10</t>
  </si>
  <si>
    <t>STD-20</t>
  </si>
  <si>
    <t>样品名称</t>
  </si>
  <si>
    <t>稀释倍数</t>
  </si>
  <si>
    <t>校正因子</t>
  </si>
  <si>
    <t>备注</t>
  </si>
  <si>
    <t>方案</t>
  </si>
  <si>
    <t>标称倍数</t>
  </si>
  <si>
    <t>实际折算倍数</t>
  </si>
  <si>
    <t>MQ/mL</t>
  </si>
  <si>
    <t>1 M HCl/mL</t>
  </si>
  <si>
    <t>直接还原上机</t>
  </si>
  <si>
    <r>
      <t>标准浓度</t>
    </r>
    <r>
      <rPr>
        <sz val="11"/>
        <rFont val="Carlito"/>
        <family val="2"/>
      </rPr>
      <t>/ppb</t>
    </r>
  </si>
  <si>
    <r>
      <t>初始浓度</t>
    </r>
    <r>
      <rPr>
        <sz val="11"/>
        <rFont val="Carlito"/>
        <family val="2"/>
      </rPr>
      <t>/ppm</t>
    </r>
  </si>
  <si>
    <r>
      <t>标线计算</t>
    </r>
    <r>
      <rPr>
        <sz val="11"/>
        <rFont val="Carlito"/>
        <family val="2"/>
      </rPr>
      <t>/ppb</t>
    </r>
  </si>
  <si>
    <r>
      <t>校正终液</t>
    </r>
    <r>
      <rPr>
        <sz val="11"/>
        <rFont val="Carlito"/>
        <family val="2"/>
      </rPr>
      <t>/ppb</t>
    </r>
  </si>
  <si>
    <r>
      <t>折算原样</t>
    </r>
    <r>
      <rPr>
        <sz val="11"/>
        <rFont val="Carlito"/>
        <family val="2"/>
      </rPr>
      <t>/ppm</t>
    </r>
  </si>
  <si>
    <r>
      <t>剩余率</t>
    </r>
    <r>
      <rPr>
        <sz val="11"/>
        <rFont val="Carlito"/>
        <family val="2"/>
      </rPr>
      <t>/%</t>
    </r>
  </si>
  <si>
    <r>
      <t>吸附率</t>
    </r>
    <r>
      <rPr>
        <sz val="11"/>
        <rFont val="Carlito"/>
        <family val="2"/>
      </rPr>
      <t>/%</t>
    </r>
  </si>
  <si>
    <r>
      <t>0.05 和</t>
    </r>
    <r>
      <rPr>
        <sz val="11"/>
        <rFont val="Carlito"/>
        <family val="2"/>
      </rPr>
      <t xml:space="preserve"> 0.5 ppm </t>
    </r>
    <r>
      <rPr>
        <sz val="11"/>
        <rFont val="Carlito"/>
      </rPr>
      <t>样品单独加入浓</t>
    </r>
    <r>
      <rPr>
        <sz val="11"/>
        <rFont val="Carlito"/>
        <family val="2"/>
      </rPr>
      <t xml:space="preserve"> HCl </t>
    </r>
    <r>
      <rPr>
        <sz val="11"/>
        <rFont val="Carlito"/>
      </rPr>
      <t>与</t>
    </r>
    <r>
      <rPr>
        <sz val="11"/>
        <rFont val="Carlito"/>
        <family val="2"/>
      </rPr>
      <t xml:space="preserve"> MQ </t>
    </r>
    <r>
      <rPr>
        <sz val="11"/>
        <rFont val="Carlito"/>
      </rPr>
      <t>水；</t>
    </r>
    <r>
      <rPr>
        <sz val="11"/>
        <rFont val="Carlito"/>
        <family val="2"/>
      </rPr>
      <t xml:space="preserve">1–50 ppm </t>
    </r>
    <r>
      <rPr>
        <sz val="11"/>
        <rFont val="Carlito"/>
      </rPr>
      <t>样品直接加入配好的</t>
    </r>
    <r>
      <rPr>
        <sz val="11"/>
        <rFont val="Carlito"/>
        <family val="2"/>
      </rPr>
      <t xml:space="preserve"> 1 M HCl</t>
    </r>
    <r>
      <rPr>
        <sz val="11"/>
        <rFont val="Carlito"/>
      </rPr>
      <t>。所有样品最后加入</t>
    </r>
    <r>
      <rPr>
        <sz val="11"/>
        <rFont val="Carlito"/>
        <family val="2"/>
      </rPr>
      <t xml:space="preserve"> 10% KI/</t>
    </r>
    <r>
      <rPr>
        <sz val="11"/>
        <rFont val="Carlito"/>
      </rPr>
      <t>抗坏血酸混合还原剂；还原后直接上机。</t>
    </r>
  </si>
  <si>
    <r>
      <t>前置样品</t>
    </r>
    <r>
      <rPr>
        <sz val="11"/>
        <rFont val="Carlito"/>
        <family val="2"/>
      </rPr>
      <t>/mL</t>
    </r>
  </si>
  <si>
    <r>
      <t>前置</t>
    </r>
    <r>
      <rPr>
        <sz val="11"/>
        <rFont val="Carlito"/>
        <family val="2"/>
      </rPr>
      <t xml:space="preserve"> MQ/mL</t>
    </r>
  </si>
  <si>
    <r>
      <t>前置终体积</t>
    </r>
    <r>
      <rPr>
        <sz val="11"/>
        <rFont val="Carlito"/>
        <family val="2"/>
      </rPr>
      <t>/mL</t>
    </r>
  </si>
  <si>
    <r>
      <t>还原管取液</t>
    </r>
    <r>
      <rPr>
        <sz val="11"/>
        <rFont val="Carlito"/>
        <family val="2"/>
      </rPr>
      <t>/mL</t>
    </r>
  </si>
  <si>
    <r>
      <t>还原剂</t>
    </r>
    <r>
      <rPr>
        <sz val="11"/>
        <rFont val="Carlito"/>
        <family val="2"/>
      </rPr>
      <t>/mL</t>
    </r>
  </si>
  <si>
    <r>
      <t>浓</t>
    </r>
    <r>
      <rPr>
        <sz val="11"/>
        <rFont val="Carlito"/>
        <family val="2"/>
      </rPr>
      <t xml:space="preserve"> HCl/mL</t>
    </r>
  </si>
  <si>
    <r>
      <t>最终体积</t>
    </r>
    <r>
      <rPr>
        <sz val="11"/>
        <rFont val="Carlito"/>
        <family val="2"/>
      </rPr>
      <t>/mL</t>
    </r>
  </si>
  <si>
    <r>
      <t>按初始值估算终液</t>
    </r>
    <r>
      <rPr>
        <sz val="11"/>
        <rFont val="Carlito"/>
        <family val="2"/>
      </rPr>
      <t>/ppb</t>
    </r>
  </si>
  <si>
    <r>
      <t>直接</t>
    </r>
    <r>
      <rPr>
        <sz val="11"/>
        <rFont val="Carlito"/>
        <family val="2"/>
      </rPr>
      <t xml:space="preserve"> 5 </t>
    </r>
    <r>
      <rPr>
        <sz val="11"/>
        <rFont val="Carlito"/>
      </rPr>
      <t>倍并还原</t>
    </r>
  </si>
  <si>
    <r>
      <t>直接</t>
    </r>
    <r>
      <rPr>
        <sz val="11"/>
        <rFont val="Carlito"/>
        <family val="2"/>
      </rPr>
      <t xml:space="preserve"> 100 </t>
    </r>
    <r>
      <rPr>
        <sz val="11"/>
        <rFont val="Carlito"/>
      </rPr>
      <t>倍并还原</t>
    </r>
  </si>
  <si>
    <r>
      <t>先</t>
    </r>
    <r>
      <rPr>
        <sz val="11"/>
        <rFont val="Carlito"/>
        <family val="2"/>
      </rPr>
      <t xml:space="preserve"> 10 </t>
    </r>
    <r>
      <rPr>
        <sz val="11"/>
        <rFont val="Carlito"/>
      </rPr>
      <t>倍，再</t>
    </r>
    <r>
      <rPr>
        <sz val="11"/>
        <rFont val="Carlito"/>
        <family val="2"/>
      </rPr>
      <t xml:space="preserve"> 30 </t>
    </r>
    <r>
      <rPr>
        <sz val="11"/>
        <rFont val="Carlito"/>
      </rPr>
      <t>倍还原</t>
    </r>
  </si>
  <si>
    <r>
      <t>先</t>
    </r>
    <r>
      <rPr>
        <sz val="11"/>
        <rFont val="Carlito"/>
        <family val="2"/>
      </rPr>
      <t xml:space="preserve"> 10 </t>
    </r>
    <r>
      <rPr>
        <sz val="11"/>
        <rFont val="Carlito"/>
      </rPr>
      <t>倍，再</t>
    </r>
    <r>
      <rPr>
        <sz val="11"/>
        <rFont val="Carlito"/>
        <family val="2"/>
      </rPr>
      <t xml:space="preserve"> 60 </t>
    </r>
    <r>
      <rPr>
        <sz val="11"/>
        <rFont val="Carlito"/>
      </rPr>
      <t>倍还原</t>
    </r>
  </si>
  <si>
    <r>
      <t>先</t>
    </r>
    <r>
      <rPr>
        <sz val="11"/>
        <rFont val="Carlito"/>
        <family val="2"/>
      </rPr>
      <t xml:space="preserve"> 10 </t>
    </r>
    <r>
      <rPr>
        <sz val="11"/>
        <rFont val="Carlito"/>
      </rPr>
      <t>倍，再</t>
    </r>
    <r>
      <rPr>
        <sz val="11"/>
        <rFont val="Carlito"/>
        <family val="2"/>
      </rPr>
      <t xml:space="preserve"> 100 </t>
    </r>
    <r>
      <rPr>
        <sz val="11"/>
        <rFont val="Carlito"/>
      </rPr>
      <t>倍还原</t>
    </r>
  </si>
  <si>
    <r>
      <t>先</t>
    </r>
    <r>
      <rPr>
        <sz val="11"/>
        <rFont val="Carlito"/>
        <family val="2"/>
      </rPr>
      <t xml:space="preserve"> 20 </t>
    </r>
    <r>
      <rPr>
        <sz val="11"/>
        <rFont val="Carlito"/>
      </rPr>
      <t>倍，再</t>
    </r>
    <r>
      <rPr>
        <sz val="11"/>
        <rFont val="Carlito"/>
        <family val="2"/>
      </rPr>
      <t xml:space="preserve"> 100 </t>
    </r>
    <r>
      <rPr>
        <sz val="11"/>
        <rFont val="Carlito"/>
      </rPr>
      <t>倍还原</t>
    </r>
  </si>
  <si>
    <r>
      <t>先</t>
    </r>
    <r>
      <rPr>
        <sz val="11"/>
        <rFont val="Carlito"/>
        <family val="2"/>
      </rPr>
      <t xml:space="preserve"> 100 </t>
    </r>
    <r>
      <rPr>
        <sz val="11"/>
        <rFont val="Carlito"/>
      </rPr>
      <t>倍，再</t>
    </r>
    <r>
      <rPr>
        <sz val="11"/>
        <rFont val="Carlito"/>
        <family val="2"/>
      </rPr>
      <t xml:space="preserve"> 50 </t>
    </r>
    <r>
      <rPr>
        <sz val="11"/>
        <rFont val="Carlito"/>
      </rPr>
      <t>倍还原</t>
    </r>
  </si>
  <si>
    <t>2 ppb 检查标准</t>
  </si>
  <si>
    <r>
      <t>六方纤铁矿</t>
    </r>
    <r>
      <rPr>
        <sz val="11"/>
        <rFont val="Carlito"/>
        <family val="2"/>
      </rPr>
      <t>-0.01 M NaNO</t>
    </r>
    <r>
      <rPr>
        <sz val="11"/>
        <rFont val="Carlito"/>
      </rPr>
      <t>₃</t>
    </r>
  </si>
  <si>
    <r>
      <t>六方纤铁矿</t>
    </r>
    <r>
      <rPr>
        <sz val="11"/>
        <rFont val="Carlito"/>
        <family val="2"/>
      </rPr>
      <t>-ASW</t>
    </r>
  </si>
  <si>
    <r>
      <t>δ-MnO₂</t>
    </r>
    <r>
      <rPr>
        <sz val="11"/>
        <rFont val="Carlito"/>
        <family val="2"/>
      </rPr>
      <t>-0.01 M NaNO</t>
    </r>
    <r>
      <rPr>
        <sz val="11"/>
        <rFont val="Carlito"/>
      </rPr>
      <t>₃</t>
    </r>
  </si>
  <si>
    <r>
      <t>δ-MnO₂</t>
    </r>
    <r>
      <rPr>
        <sz val="11"/>
        <rFont val="Carlito"/>
        <family val="2"/>
      </rPr>
      <t>-ASW</t>
    </r>
  </si>
  <si>
    <r>
      <t>钙锰矿</t>
    </r>
    <r>
      <rPr>
        <sz val="11"/>
        <rFont val="Carlito"/>
        <family val="2"/>
      </rPr>
      <t>-0.01 M NaNO</t>
    </r>
    <r>
      <rPr>
        <sz val="11"/>
        <rFont val="Carlito"/>
      </rPr>
      <t>₃</t>
    </r>
  </si>
  <si>
    <r>
      <t>钙锰矿</t>
    </r>
    <r>
      <rPr>
        <sz val="11"/>
        <rFont val="Carlito"/>
        <family val="2"/>
      </rPr>
      <t>-ASW</t>
    </r>
  </si>
  <si>
    <r>
      <t>酸性水钠锰矿</t>
    </r>
    <r>
      <rPr>
        <sz val="11"/>
        <rFont val="Carlito"/>
        <family val="2"/>
      </rPr>
      <t>-0.01 M NaNO</t>
    </r>
    <r>
      <rPr>
        <sz val="11"/>
        <rFont val="Carlito"/>
      </rPr>
      <t>₃</t>
    </r>
  </si>
  <si>
    <r>
      <t>碱性水钠锰矿</t>
    </r>
    <r>
      <rPr>
        <sz val="11"/>
        <rFont val="Carlito"/>
        <family val="2"/>
      </rPr>
      <t>-0.01 M NaNO</t>
    </r>
    <r>
      <rPr>
        <sz val="11"/>
        <rFont val="Carlito"/>
      </rPr>
      <t>₃</t>
    </r>
  </si>
  <si>
    <r>
      <t>日期：</t>
    </r>
    <r>
      <rPr>
        <sz val="11"/>
        <rFont val="Carlito"/>
        <family val="2"/>
      </rPr>
      <t>260723</t>
    </r>
    <phoneticPr fontId="3" type="noConversion"/>
  </si>
  <si>
    <t>加错原液</t>
    <phoneticPr fontId="3" type="noConversion"/>
  </si>
  <si>
    <r>
      <rPr>
        <sz val="11"/>
        <rFont val="微软雅黑"/>
        <family val="2"/>
        <charset val="134"/>
      </rPr>
      <t>日期</t>
    </r>
    <r>
      <rPr>
        <sz val="11"/>
        <rFont val="Arial"/>
        <family val="2"/>
      </rPr>
      <t>260923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</si>
</sst>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_ "/>
  </numFmts>
  <fonts count="7">
    <font>
      <sz val="11"/>
      <name val="Carlito"/>
    </font>
    <font>
      <sz val="11"/>
      <name val="Carlito"/>
    </font>
    <font>
      <sz val="11"/>
      <name val="Carlito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1"/>
    <xf numFmtId="0" fontId="1" fillId="0" borderId="1"/>
  </cellStyleXfs>
  <cellXfs count="15">
    <xf numFmtId="0" fontId="0" fillId="0" borderId="0" xfId="0"/>
    <xf numFmtId="0" fontId="1" fillId="0" borderId="1" xfId="1" applyBorder="1"/>
    <xf numFmtId="176" fontId="1" fillId="0" borderId="1" xfId="1" applyNumberFormat="1" applyBorder="1"/>
    <xf numFmtId="176" fontId="1" fillId="2" borderId="1" xfId="1" applyNumberFormat="1" applyFill="1" applyBorder="1"/>
    <xf numFmtId="177" fontId="1" fillId="2" borderId="1" xfId="1" applyNumberFormat="1" applyFill="1" applyBorder="1"/>
    <xf numFmtId="176" fontId="1" fillId="3" borderId="1" xfId="1" applyNumberFormat="1" applyFill="1" applyBorder="1"/>
    <xf numFmtId="0" fontId="1" fillId="3" borderId="1" xfId="1" applyFill="1" applyBorder="1"/>
    <xf numFmtId="176" fontId="1" fillId="4" borderId="1" xfId="1" applyNumberFormat="1" applyFill="1" applyBorder="1"/>
    <xf numFmtId="177" fontId="1" fillId="4" borderId="1" xfId="1" applyNumberFormat="1" applyFill="1" applyBorder="1"/>
    <xf numFmtId="177" fontId="1" fillId="3" borderId="1" xfId="1" applyNumberFormat="1" applyFill="1" applyBorder="1"/>
    <xf numFmtId="176" fontId="1" fillId="5" borderId="1" xfId="1" applyNumberFormat="1" applyFill="1" applyBorder="1"/>
    <xf numFmtId="176" fontId="1" fillId="0" borderId="1" xfId="1" applyNumberFormat="1" applyBorder="1"/>
    <xf numFmtId="0" fontId="1" fillId="0" borderId="1" xfId="1" applyBorder="1"/>
    <xf numFmtId="176" fontId="6" fillId="3" borderId="1" xfId="1" applyNumberFormat="1" applyFont="1" applyFill="1" applyBorder="1"/>
    <xf numFmtId="176" fontId="6" fillId="4" borderId="1" xfId="1" applyNumberFormat="1" applyFont="1" applyFill="1" applyBorder="1"/>
  </cellXfs>
  <cellStyles count="4">
    <cellStyle name="Normal" xfId="1" xr:uid="{00000000-0005-0000-0000-000000000000}"/>
    <cellStyle name="Normal 2" xfId="3" xr:uid="{E8C0F51D-54FD-49A3-A4ED-4918D87A6BDF}"/>
    <cellStyle name="常规" xfId="0" builtinId="0"/>
    <cellStyle name="常规 2" xfId="2" xr:uid="{5496AD77-A400-47B1-ACE8-A23F0877FC8F}"/>
  </cellStyles>
  <dxfs count="1"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tabSelected="1" zoomScale="68" zoomScaleNormal="70" workbookViewId="0">
      <pane xSplit="1" ySplit="10" topLeftCell="E41" activePane="bottomRight" state="frozen"/>
      <selection pane="topRight" activeCell="B1" sqref="B1"/>
      <selection pane="bottomLeft" activeCell="A11" sqref="A11"/>
      <selection pane="bottomRight" activeCell="T9" sqref="T9"/>
    </sheetView>
  </sheetViews>
  <sheetFormatPr defaultRowHeight="14"/>
  <cols>
    <col min="1" max="1" width="27.75" style="2" customWidth="1"/>
    <col min="2" max="2" width="11.5" style="2" customWidth="1"/>
    <col min="3" max="3" width="13" style="2" customWidth="1"/>
    <col min="4" max="4" width="11" style="2" customWidth="1"/>
    <col min="5" max="6" width="13" style="2" customWidth="1"/>
    <col min="7" max="7" width="11" style="2" customWidth="1"/>
    <col min="8" max="9" width="13" style="2" customWidth="1"/>
    <col min="10" max="11" width="11" style="2" customWidth="1"/>
    <col min="12" max="12" width="28" style="2" customWidth="1"/>
    <col min="13" max="13" width="11.25" style="2" bestFit="1" customWidth="1"/>
    <col min="14" max="19" width="8.6640625" style="2"/>
    <col min="20" max="20" width="15.75" style="2" customWidth="1"/>
    <col min="21" max="16384" width="8.6640625" style="2"/>
  </cols>
  <sheetData>
    <row r="1" spans="1:2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20">
      <c r="A2" s="3" t="s">
        <v>1</v>
      </c>
      <c r="B2" s="3" t="s">
        <v>24</v>
      </c>
      <c r="C2" s="3" t="s">
        <v>2</v>
      </c>
      <c r="D2" s="3"/>
      <c r="E2" s="3" t="s">
        <v>3</v>
      </c>
      <c r="F2" s="3" t="s">
        <v>4</v>
      </c>
      <c r="H2" s="5" t="s">
        <v>1</v>
      </c>
      <c r="I2" s="5" t="s">
        <v>24</v>
      </c>
      <c r="J2" s="5" t="s">
        <v>2</v>
      </c>
      <c r="K2" s="5"/>
      <c r="L2" s="5" t="s">
        <v>3</v>
      </c>
      <c r="M2" s="5" t="s">
        <v>4</v>
      </c>
      <c r="O2" s="7" t="s">
        <v>1</v>
      </c>
      <c r="P2" s="7" t="s">
        <v>24</v>
      </c>
      <c r="Q2" s="7" t="s">
        <v>2</v>
      </c>
      <c r="R2" s="7"/>
      <c r="S2" s="7" t="s">
        <v>3</v>
      </c>
      <c r="T2" s="7" t="s">
        <v>4</v>
      </c>
    </row>
    <row r="3" spans="1:20">
      <c r="A3" s="3" t="s">
        <v>5</v>
      </c>
      <c r="B3" s="3">
        <v>0</v>
      </c>
      <c r="C3" s="3">
        <v>301.74</v>
      </c>
      <c r="D3" s="3"/>
      <c r="E3" s="3" t="s">
        <v>6</v>
      </c>
      <c r="F3" s="4">
        <f>SLOPE(C4:C8,B4:B8)</f>
        <v>332.8662106135987</v>
      </c>
      <c r="H3" s="5" t="s">
        <v>5</v>
      </c>
      <c r="I3" s="5">
        <v>0</v>
      </c>
      <c r="J3" s="5">
        <v>320.29000000000002</v>
      </c>
      <c r="K3" s="5"/>
      <c r="L3" s="5" t="s">
        <v>6</v>
      </c>
      <c r="M3" s="9">
        <f>SLOPE(J4:J8,I4:I8)</f>
        <v>191.21426202321726</v>
      </c>
      <c r="O3" s="7" t="s">
        <v>5</v>
      </c>
      <c r="P3" s="7">
        <v>0</v>
      </c>
      <c r="Q3" s="7">
        <v>337.34</v>
      </c>
      <c r="R3" s="7"/>
      <c r="S3" s="7" t="s">
        <v>6</v>
      </c>
      <c r="T3" s="8">
        <f>SLOPE(Q4:Q8,P4:P8)</f>
        <v>226.75364842454394</v>
      </c>
    </row>
    <row r="4" spans="1:20">
      <c r="A4" s="3" t="s">
        <v>7</v>
      </c>
      <c r="B4" s="3">
        <v>1</v>
      </c>
      <c r="C4" s="3">
        <v>416.34</v>
      </c>
      <c r="D4" s="3"/>
      <c r="E4" s="3" t="s">
        <v>8</v>
      </c>
      <c r="F4" s="4">
        <f>INTERCEPT(C4:C8,B4:B8)</f>
        <v>78.936799336650438</v>
      </c>
      <c r="H4" s="5" t="s">
        <v>7</v>
      </c>
      <c r="I4" s="5">
        <v>1</v>
      </c>
      <c r="J4" s="5">
        <v>210</v>
      </c>
      <c r="K4" s="5"/>
      <c r="L4" s="5" t="s">
        <v>8</v>
      </c>
      <c r="M4" s="9">
        <f>INTERCEPT(J4:J8,I4:I8)</f>
        <v>-2.1583913764509361</v>
      </c>
      <c r="O4" s="7" t="s">
        <v>7</v>
      </c>
      <c r="P4" s="7">
        <v>1</v>
      </c>
      <c r="Q4" s="7">
        <v>235.01</v>
      </c>
      <c r="R4" s="7"/>
      <c r="S4" s="7" t="s">
        <v>8</v>
      </c>
      <c r="T4" s="8">
        <f>INTERCEPT(Q4:Q8,P4:P8)</f>
        <v>-16.147728026533514</v>
      </c>
    </row>
    <row r="5" spans="1:20">
      <c r="A5" s="3" t="s">
        <v>9</v>
      </c>
      <c r="B5" s="3">
        <v>2</v>
      </c>
      <c r="C5" s="3">
        <v>747.25</v>
      </c>
      <c r="D5" s="3"/>
      <c r="E5" s="3" t="s">
        <v>10</v>
      </c>
      <c r="F5" s="4">
        <f>RSQ(C4:C8,B4:B8)</f>
        <v>0.99938953530092656</v>
      </c>
      <c r="H5" s="5" t="s">
        <v>9</v>
      </c>
      <c r="I5" s="5">
        <v>2</v>
      </c>
      <c r="J5" s="5">
        <v>391.07</v>
      </c>
      <c r="K5" s="5"/>
      <c r="L5" s="5" t="s">
        <v>10</v>
      </c>
      <c r="M5" s="9">
        <f>RSQ(J4:J8,I4:I8)</f>
        <v>0.99973799725033219</v>
      </c>
      <c r="O5" s="7" t="s">
        <v>9</v>
      </c>
      <c r="P5" s="7">
        <v>2</v>
      </c>
      <c r="Q5" s="7">
        <v>463.58</v>
      </c>
      <c r="R5" s="7"/>
      <c r="S5" s="7" t="s">
        <v>10</v>
      </c>
      <c r="T5" s="8">
        <f>RSQ(Q4:Q8,P4:P8)</f>
        <v>0.99951179641132071</v>
      </c>
    </row>
    <row r="6" spans="1:20">
      <c r="A6" s="3" t="s">
        <v>11</v>
      </c>
      <c r="B6" s="3">
        <v>5</v>
      </c>
      <c r="C6" s="3">
        <v>1804.81</v>
      </c>
      <c r="D6" s="3"/>
      <c r="E6" s="3"/>
      <c r="F6" s="4"/>
      <c r="H6" s="5" t="s">
        <v>11</v>
      </c>
      <c r="I6" s="5">
        <v>5</v>
      </c>
      <c r="J6" s="5">
        <v>936.54</v>
      </c>
      <c r="K6" s="5"/>
      <c r="L6" s="5"/>
      <c r="M6" s="5"/>
      <c r="O6" s="7" t="s">
        <v>11</v>
      </c>
      <c r="P6" s="7">
        <v>5</v>
      </c>
      <c r="Q6" s="7">
        <v>1093.1500000000001</v>
      </c>
      <c r="R6" s="7"/>
      <c r="S6" s="7"/>
      <c r="T6" s="7"/>
    </row>
    <row r="7" spans="1:20">
      <c r="A7" s="3" t="s">
        <v>12</v>
      </c>
      <c r="B7" s="3">
        <v>10</v>
      </c>
      <c r="C7" s="3">
        <v>3302.02</v>
      </c>
      <c r="D7" s="3"/>
      <c r="E7" s="3"/>
      <c r="F7" s="3"/>
      <c r="H7" s="5" t="s">
        <v>12</v>
      </c>
      <c r="I7" s="5">
        <v>10</v>
      </c>
      <c r="J7" s="5">
        <v>1876.81</v>
      </c>
      <c r="K7" s="5"/>
      <c r="L7" s="5"/>
      <c r="M7" s="5"/>
      <c r="O7" s="7" t="s">
        <v>12</v>
      </c>
      <c r="P7" s="7">
        <v>10</v>
      </c>
      <c r="Q7" s="7">
        <v>2194.5300000000002</v>
      </c>
      <c r="R7" s="7"/>
      <c r="S7" s="7"/>
      <c r="T7" s="7"/>
    </row>
    <row r="8" spans="1:20" ht="16.5">
      <c r="A8" s="3" t="s">
        <v>13</v>
      </c>
      <c r="B8" s="3">
        <v>20</v>
      </c>
      <c r="C8" s="3">
        <v>6773.18</v>
      </c>
      <c r="D8" s="3"/>
      <c r="E8" s="3"/>
      <c r="F8" s="3" t="s">
        <v>56</v>
      </c>
      <c r="H8" s="5" t="s">
        <v>13</v>
      </c>
      <c r="I8" s="5">
        <v>20</v>
      </c>
      <c r="J8" s="5">
        <v>3840.93</v>
      </c>
      <c r="K8" s="5"/>
      <c r="L8" s="5"/>
      <c r="M8" s="13" t="s">
        <v>58</v>
      </c>
      <c r="O8" s="7" t="s">
        <v>13</v>
      </c>
      <c r="P8" s="7">
        <v>20</v>
      </c>
      <c r="Q8" s="7">
        <v>4549.63</v>
      </c>
      <c r="R8" s="7"/>
      <c r="S8" s="7"/>
      <c r="T8" s="14" t="s">
        <v>58</v>
      </c>
    </row>
    <row r="10" spans="1:20">
      <c r="A10" s="2" t="s">
        <v>14</v>
      </c>
      <c r="B10" s="2" t="s">
        <v>25</v>
      </c>
      <c r="C10" s="2" t="s">
        <v>15</v>
      </c>
      <c r="D10" s="2" t="s">
        <v>2</v>
      </c>
      <c r="E10" s="2" t="s">
        <v>26</v>
      </c>
      <c r="F10" s="2" t="s">
        <v>16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17</v>
      </c>
    </row>
    <row r="11" spans="1:20">
      <c r="A11" s="2" t="s">
        <v>47</v>
      </c>
      <c r="E11" s="2" t="str">
        <f>IF(D11="","",(D11-$M$4)/$M$3)</f>
        <v/>
      </c>
      <c r="F11" s="2" t="str">
        <f>IF(E11="","",$F$6/E11)</f>
        <v/>
      </c>
      <c r="G11" s="2" t="str">
        <f t="shared" ref="G11:G42" si="0">IF(E11="","",E11*F11)</f>
        <v/>
      </c>
    </row>
    <row r="12" spans="1:20">
      <c r="A12" s="2" t="s">
        <v>48</v>
      </c>
      <c r="B12" s="2">
        <v>0.05</v>
      </c>
      <c r="C12" s="2">
        <v>1.1160000000000001</v>
      </c>
      <c r="E12" s="2" t="str">
        <f>IF(D12="","",(D12-$M$4)/$M$3)</f>
        <v/>
      </c>
      <c r="F12" s="2" t="str">
        <f>IF(E12="","",F$11)</f>
        <v/>
      </c>
      <c r="G12" s="2" t="str">
        <f t="shared" si="0"/>
        <v/>
      </c>
      <c r="H12" s="2" t="str">
        <f>IF(G12="","",G12*C12/1000)</f>
        <v/>
      </c>
      <c r="I12" s="2" t="str">
        <f>IF(H12="","",H12/B12*100)</f>
        <v/>
      </c>
      <c r="J12" s="2" t="str">
        <f>IF(I12="","",100-I12)</f>
        <v/>
      </c>
    </row>
    <row r="13" spans="1:20">
      <c r="A13" s="2" t="s">
        <v>48</v>
      </c>
      <c r="B13" s="2">
        <v>0.5</v>
      </c>
      <c r="C13" s="2">
        <v>5</v>
      </c>
      <c r="E13" s="2" t="str">
        <f>IF(D13="","",(D13-$M$4)/$M$3)</f>
        <v/>
      </c>
      <c r="F13" s="2" t="str">
        <f>IF(E13="","",F$11)</f>
        <v/>
      </c>
      <c r="G13" s="2" t="str">
        <f t="shared" si="0"/>
        <v/>
      </c>
      <c r="H13" s="2" t="str">
        <f>IF(G13="","",G13*C13/1000)</f>
        <v/>
      </c>
      <c r="I13" s="2" t="str">
        <f>IF(H13="","",H13/B13*100)</f>
        <v/>
      </c>
      <c r="J13" s="2" t="str">
        <f>IF(I13="","",100-I13)</f>
        <v/>
      </c>
    </row>
    <row r="14" spans="1:20">
      <c r="A14" s="2" t="s">
        <v>48</v>
      </c>
      <c r="B14" s="2">
        <v>1</v>
      </c>
      <c r="C14" s="2">
        <v>100</v>
      </c>
      <c r="E14" s="2" t="str">
        <f t="shared" ref="E14:E31" si="1">IF(D14="","",(D14-$M$4)/$M$3)</f>
        <v/>
      </c>
      <c r="F14" s="2" t="str">
        <f>IF(E14="","",F$11)</f>
        <v/>
      </c>
      <c r="G14" s="2" t="str">
        <f t="shared" si="0"/>
        <v/>
      </c>
      <c r="H14" s="2" t="str">
        <f>IF(G14="","",G14*C14/1000)</f>
        <v/>
      </c>
      <c r="I14" s="2" t="str">
        <f>IF(H14="","",H14/B14*100)</f>
        <v/>
      </c>
      <c r="J14" s="2" t="str">
        <f>IF(I14="","",100-I14)</f>
        <v/>
      </c>
    </row>
    <row r="15" spans="1:20">
      <c r="A15" s="2" t="s">
        <v>48</v>
      </c>
      <c r="B15" s="2">
        <v>3</v>
      </c>
      <c r="C15" s="2">
        <v>300</v>
      </c>
      <c r="E15" s="2" t="str">
        <f t="shared" si="1"/>
        <v/>
      </c>
      <c r="F15" s="2" t="str">
        <f>IF(E15="","",F$11)</f>
        <v/>
      </c>
      <c r="G15" s="2" t="str">
        <f t="shared" si="0"/>
        <v/>
      </c>
      <c r="H15" s="2" t="str">
        <f>IF(G15="","",G15*C15/1000)</f>
        <v/>
      </c>
      <c r="I15" s="2" t="str">
        <f>IF(H15="","",H15/B15*100)</f>
        <v/>
      </c>
      <c r="J15" s="2" t="str">
        <f>IF(I15="","",100-I15)</f>
        <v/>
      </c>
    </row>
    <row r="16" spans="1:20">
      <c r="A16" s="2" t="s">
        <v>47</v>
      </c>
      <c r="E16" s="2" t="str">
        <f t="shared" si="1"/>
        <v/>
      </c>
      <c r="F16" s="2" t="str">
        <f>IF(E16="","",$F$6/E16)</f>
        <v/>
      </c>
      <c r="G16" s="2" t="str">
        <f t="shared" si="0"/>
        <v/>
      </c>
    </row>
    <row r="17" spans="1:10">
      <c r="A17" s="2" t="s">
        <v>48</v>
      </c>
      <c r="B17" s="2">
        <v>6</v>
      </c>
      <c r="C17" s="2">
        <v>600</v>
      </c>
      <c r="E17" s="2" t="str">
        <f t="shared" si="1"/>
        <v/>
      </c>
      <c r="F17" s="2" t="str">
        <f>IF(E17="","",F$16)</f>
        <v/>
      </c>
      <c r="G17" s="2" t="str">
        <f t="shared" si="0"/>
        <v/>
      </c>
      <c r="H17" s="2" t="str">
        <f>IF(G17="","",G17*C17/1000)</f>
        <v/>
      </c>
      <c r="I17" s="2" t="str">
        <f>IF(H17="","",H17/B17*100)</f>
        <v/>
      </c>
      <c r="J17" s="2" t="str">
        <f>IF(I17="","",100-I17)</f>
        <v/>
      </c>
    </row>
    <row r="18" spans="1:10">
      <c r="A18" s="2" t="s">
        <v>48</v>
      </c>
      <c r="B18" s="2">
        <v>10</v>
      </c>
      <c r="C18" s="2">
        <v>1000</v>
      </c>
      <c r="E18" s="2" t="str">
        <f t="shared" si="1"/>
        <v/>
      </c>
      <c r="F18" s="2" t="str">
        <f>IF(E18="","",F$16)</f>
        <v/>
      </c>
      <c r="G18" s="2" t="str">
        <f t="shared" si="0"/>
        <v/>
      </c>
      <c r="H18" s="2" t="str">
        <f>IF(G18="","",G18*C18/1000)</f>
        <v/>
      </c>
      <c r="I18" s="2" t="str">
        <f>IF(H18="","",H18/B18*100)</f>
        <v/>
      </c>
      <c r="J18" s="2" t="str">
        <f>IF(I18="","",100-I18)</f>
        <v/>
      </c>
    </row>
    <row r="19" spans="1:10">
      <c r="A19" s="2" t="s">
        <v>48</v>
      </c>
      <c r="B19" s="2">
        <v>20</v>
      </c>
      <c r="C19" s="2">
        <v>2000</v>
      </c>
      <c r="E19" s="2" t="str">
        <f t="shared" si="1"/>
        <v/>
      </c>
      <c r="F19" s="2" t="str">
        <f>IF(E19="","",F$16)</f>
        <v/>
      </c>
      <c r="G19" s="2" t="str">
        <f t="shared" si="0"/>
        <v/>
      </c>
      <c r="H19" s="2" t="str">
        <f>IF(G19="","",G19*C19/1000)</f>
        <v/>
      </c>
      <c r="I19" s="2" t="str">
        <f>IF(H19="","",H19/B19*100)</f>
        <v/>
      </c>
      <c r="J19" s="2" t="str">
        <f>IF(I19="","",100-I19)</f>
        <v/>
      </c>
    </row>
    <row r="20" spans="1:10">
      <c r="A20" s="2" t="s">
        <v>48</v>
      </c>
      <c r="B20" s="2">
        <v>50</v>
      </c>
      <c r="C20" s="2">
        <v>5000</v>
      </c>
      <c r="E20" s="2" t="str">
        <f t="shared" si="1"/>
        <v/>
      </c>
      <c r="F20" s="2" t="str">
        <f>IF(E20="","",F$16)</f>
        <v/>
      </c>
      <c r="G20" s="2" t="str">
        <f t="shared" si="0"/>
        <v/>
      </c>
      <c r="H20" s="2" t="str">
        <f>IF(G20="","",G20*C20/1000)</f>
        <v/>
      </c>
      <c r="I20" s="2" t="str">
        <f>IF(H20="","",H20/B20*100)</f>
        <v/>
      </c>
      <c r="J20" s="2" t="str">
        <f>IF(I20="","",100-I20)</f>
        <v/>
      </c>
    </row>
    <row r="21" spans="1:10">
      <c r="A21" s="2" t="s">
        <v>47</v>
      </c>
      <c r="E21" s="2" t="str">
        <f t="shared" si="1"/>
        <v/>
      </c>
      <c r="F21" s="2" t="str">
        <f>IF(E21="","",$F$6/E21)</f>
        <v/>
      </c>
      <c r="G21" s="2" t="str">
        <f t="shared" si="0"/>
        <v/>
      </c>
    </row>
    <row r="22" spans="1:10">
      <c r="A22" s="2" t="s">
        <v>49</v>
      </c>
      <c r="B22" s="2">
        <v>0.05</v>
      </c>
      <c r="C22" s="2">
        <v>1.1160000000000001</v>
      </c>
      <c r="E22" s="2" t="str">
        <f t="shared" si="1"/>
        <v/>
      </c>
      <c r="F22" s="2" t="str">
        <f>IF(E22="","",F$21)</f>
        <v/>
      </c>
      <c r="G22" s="2" t="str">
        <f t="shared" si="0"/>
        <v/>
      </c>
      <c r="H22" s="2" t="str">
        <f>IF(G22="","",G22*C22/1000)</f>
        <v/>
      </c>
      <c r="I22" s="2" t="str">
        <f>IF(H22="","",H22/B22*100)</f>
        <v/>
      </c>
      <c r="J22" s="2" t="str">
        <f>IF(I22="","",100-I22)</f>
        <v/>
      </c>
    </row>
    <row r="23" spans="1:10">
      <c r="A23" s="2" t="s">
        <v>49</v>
      </c>
      <c r="B23" s="2">
        <v>0.5</v>
      </c>
      <c r="C23" s="2">
        <v>5</v>
      </c>
      <c r="E23" s="2" t="str">
        <f t="shared" si="1"/>
        <v/>
      </c>
      <c r="F23" s="2" t="str">
        <f>IF(E23="","",F$21)</f>
        <v/>
      </c>
      <c r="G23" s="2" t="str">
        <f t="shared" si="0"/>
        <v/>
      </c>
      <c r="H23" s="2" t="str">
        <f>IF(G23="","",G23*C23/1000)</f>
        <v/>
      </c>
      <c r="I23" s="2" t="str">
        <f>IF(H23="","",H23/B23*100)</f>
        <v/>
      </c>
      <c r="J23" s="2" t="str">
        <f>IF(I23="","",100-I23)</f>
        <v/>
      </c>
    </row>
    <row r="24" spans="1:10">
      <c r="A24" s="2" t="s">
        <v>49</v>
      </c>
      <c r="B24" s="2">
        <v>1</v>
      </c>
      <c r="C24" s="2">
        <v>100</v>
      </c>
      <c r="E24" s="2" t="str">
        <f t="shared" si="1"/>
        <v/>
      </c>
      <c r="F24" s="2" t="str">
        <f>IF(E24="","",F$21)</f>
        <v/>
      </c>
      <c r="G24" s="2" t="str">
        <f t="shared" si="0"/>
        <v/>
      </c>
      <c r="H24" s="2" t="str">
        <f>IF(G24="","",G24*C24/1000)</f>
        <v/>
      </c>
      <c r="I24" s="2" t="str">
        <f>IF(H24="","",H24/B24*100)</f>
        <v/>
      </c>
      <c r="J24" s="2" t="str">
        <f>IF(I24="","",100-I24)</f>
        <v/>
      </c>
    </row>
    <row r="25" spans="1:10">
      <c r="A25" s="2" t="s">
        <v>49</v>
      </c>
      <c r="B25" s="2">
        <v>3</v>
      </c>
      <c r="C25" s="2">
        <v>300</v>
      </c>
      <c r="E25" s="2" t="str">
        <f t="shared" si="1"/>
        <v/>
      </c>
      <c r="F25" s="2" t="str">
        <f>IF(E25="","",F$21)</f>
        <v/>
      </c>
      <c r="G25" s="2" t="str">
        <f t="shared" si="0"/>
        <v/>
      </c>
      <c r="H25" s="2" t="str">
        <f>IF(G25="","",G25*C25/1000)</f>
        <v/>
      </c>
      <c r="I25" s="2" t="str">
        <f>IF(H25="","",H25/B25*100)</f>
        <v/>
      </c>
      <c r="J25" s="2" t="str">
        <f>IF(I25="","",100-I25)</f>
        <v/>
      </c>
    </row>
    <row r="26" spans="1:10">
      <c r="A26" s="2" t="s">
        <v>47</v>
      </c>
      <c r="E26" s="2" t="str">
        <f t="shared" si="1"/>
        <v/>
      </c>
      <c r="F26" s="2" t="str">
        <f>IF(E26="","",$F$6/E26)</f>
        <v/>
      </c>
      <c r="G26" s="2" t="str">
        <f t="shared" si="0"/>
        <v/>
      </c>
    </row>
    <row r="27" spans="1:10">
      <c r="A27" s="2" t="s">
        <v>49</v>
      </c>
      <c r="B27" s="2">
        <v>6</v>
      </c>
      <c r="C27" s="2">
        <v>600</v>
      </c>
      <c r="E27" s="2" t="str">
        <f t="shared" si="1"/>
        <v/>
      </c>
      <c r="F27" s="2" t="str">
        <f>IF(E27="","",F$26)</f>
        <v/>
      </c>
      <c r="G27" s="2" t="str">
        <f t="shared" si="0"/>
        <v/>
      </c>
      <c r="H27" s="2" t="str">
        <f>IF(G27="","",G27*C27/1000)</f>
        <v/>
      </c>
      <c r="I27" s="2" t="str">
        <f>IF(H27="","",H27/B27*100)</f>
        <v/>
      </c>
      <c r="J27" s="2" t="str">
        <f>IF(I27="","",100-I27)</f>
        <v/>
      </c>
    </row>
    <row r="28" spans="1:10">
      <c r="A28" s="2" t="s">
        <v>49</v>
      </c>
      <c r="B28" s="2">
        <v>10</v>
      </c>
      <c r="C28" s="2">
        <v>1000</v>
      </c>
      <c r="E28" s="2" t="str">
        <f t="shared" si="1"/>
        <v/>
      </c>
      <c r="F28" s="2" t="str">
        <f>IF(E28="","",F$26)</f>
        <v/>
      </c>
      <c r="G28" s="2" t="str">
        <f t="shared" si="0"/>
        <v/>
      </c>
      <c r="H28" s="2" t="str">
        <f>IF(G28="","",G28*C28/1000)</f>
        <v/>
      </c>
      <c r="I28" s="2" t="str">
        <f>IF(H28="","",H28/B28*100)</f>
        <v/>
      </c>
      <c r="J28" s="2" t="str">
        <f>IF(I28="","",100-I28)</f>
        <v/>
      </c>
    </row>
    <row r="29" spans="1:10">
      <c r="A29" s="2" t="s">
        <v>49</v>
      </c>
      <c r="B29" s="2">
        <v>20</v>
      </c>
      <c r="C29" s="2">
        <v>2000</v>
      </c>
      <c r="E29" s="2" t="str">
        <f t="shared" si="1"/>
        <v/>
      </c>
      <c r="F29" s="2" t="str">
        <f>IF(E29="","",F$26)</f>
        <v/>
      </c>
      <c r="G29" s="2" t="str">
        <f t="shared" si="0"/>
        <v/>
      </c>
      <c r="H29" s="2" t="str">
        <f>IF(G29="","",G29*C29/1000)</f>
        <v/>
      </c>
      <c r="I29" s="2" t="str">
        <f>IF(H29="","",H29/B29*100)</f>
        <v/>
      </c>
      <c r="J29" s="2" t="str">
        <f>IF(I29="","",100-I29)</f>
        <v/>
      </c>
    </row>
    <row r="30" spans="1:10">
      <c r="A30" s="2" t="s">
        <v>49</v>
      </c>
      <c r="B30" s="2">
        <v>50</v>
      </c>
      <c r="C30" s="2">
        <v>5000</v>
      </c>
      <c r="E30" s="2" t="str">
        <f t="shared" si="1"/>
        <v/>
      </c>
      <c r="F30" s="2" t="str">
        <f>IF(E30="","",F$26)</f>
        <v/>
      </c>
      <c r="G30" s="2" t="str">
        <f t="shared" si="0"/>
        <v/>
      </c>
      <c r="H30" s="2" t="str">
        <f>IF(G30="","",G30*C30/1000)</f>
        <v/>
      </c>
      <c r="I30" s="2" t="str">
        <f>IF(H30="","",H30/B30*100)</f>
        <v/>
      </c>
      <c r="J30" s="2" t="str">
        <f>IF(I30="","",100-I30)</f>
        <v/>
      </c>
    </row>
    <row r="31" spans="1:10">
      <c r="A31" s="2" t="s">
        <v>47</v>
      </c>
      <c r="E31" s="2" t="str">
        <f t="shared" si="1"/>
        <v/>
      </c>
      <c r="G31" s="2" t="str">
        <f t="shared" si="0"/>
        <v/>
      </c>
    </row>
    <row r="32" spans="1:10" s="3" customFormat="1">
      <c r="A32" s="3" t="s">
        <v>50</v>
      </c>
      <c r="B32" s="3">
        <v>0.05</v>
      </c>
      <c r="C32" s="3">
        <v>1.1160000000000001</v>
      </c>
      <c r="D32" s="3">
        <v>1637.63</v>
      </c>
      <c r="E32" s="3">
        <f t="shared" ref="E32:E40" si="2">IF(D32="","",(D32-$F$4)/$F$3)</f>
        <v>4.6826417069791697</v>
      </c>
      <c r="F32" s="3">
        <f t="shared" ref="F32:F35" si="3">IF(E32="","",2/E$36)</f>
        <v>1.0940491693411971</v>
      </c>
      <c r="G32" s="3">
        <f t="shared" si="0"/>
        <v>5.1230402698430062</v>
      </c>
      <c r="H32" s="3">
        <f>IF(G32="","",G32*C32/1000)</f>
        <v>5.7173129411447953E-3</v>
      </c>
      <c r="I32" s="3">
        <f>IF(H32="","",H32/B32*100)</f>
        <v>11.434625882289589</v>
      </c>
      <c r="J32" s="3">
        <f>IF(I32="","",100-I32)</f>
        <v>88.565374117710405</v>
      </c>
    </row>
    <row r="33" spans="1:10" s="3" customFormat="1">
      <c r="A33" s="3" t="s">
        <v>50</v>
      </c>
      <c r="B33" s="3">
        <v>0.5</v>
      </c>
      <c r="C33" s="3">
        <v>5</v>
      </c>
      <c r="D33" s="3">
        <v>5803.11</v>
      </c>
      <c r="E33" s="3">
        <f t="shared" si="2"/>
        <v>17.19661839545542</v>
      </c>
      <c r="F33" s="3">
        <f t="shared" si="3"/>
        <v>1.0940491693411971</v>
      </c>
      <c r="G33" s="3">
        <f t="shared" si="0"/>
        <v>18.813946071025551</v>
      </c>
      <c r="H33" s="3">
        <f>IF(G33="","",G33*C33/1000)</f>
        <v>9.4069730355127765E-2</v>
      </c>
      <c r="I33" s="3">
        <f>IF(H33="","",H33/B33*100)</f>
        <v>18.813946071025551</v>
      </c>
      <c r="J33" s="3">
        <f>IF(I33="","",100-I33)</f>
        <v>81.186053928974445</v>
      </c>
    </row>
    <row r="34" spans="1:10" s="3" customFormat="1">
      <c r="A34" s="3" t="s">
        <v>50</v>
      </c>
      <c r="B34" s="3">
        <v>1</v>
      </c>
      <c r="C34" s="3">
        <v>100</v>
      </c>
      <c r="D34" s="3">
        <v>736.9</v>
      </c>
      <c r="E34" s="3">
        <f t="shared" si="2"/>
        <v>1.9766596298569139</v>
      </c>
      <c r="F34" s="3">
        <f t="shared" si="3"/>
        <v>1.0940491693411971</v>
      </c>
      <c r="G34" s="3">
        <f t="shared" si="0"/>
        <v>2.1625628261152348</v>
      </c>
      <c r="H34" s="3">
        <f>IF(G34="","",G34*C34/1000)</f>
        <v>0.21625628261152349</v>
      </c>
      <c r="I34" s="3">
        <f>IF(H34="","",H34/B34*100)</f>
        <v>21.62562826115235</v>
      </c>
      <c r="J34" s="3">
        <f>IF(I34="","",100-I34)</f>
        <v>78.374371738847657</v>
      </c>
    </row>
    <row r="35" spans="1:10" s="3" customFormat="1">
      <c r="A35" s="3" t="s">
        <v>50</v>
      </c>
      <c r="B35" s="3">
        <v>3</v>
      </c>
      <c r="C35" s="3">
        <v>300</v>
      </c>
      <c r="D35" s="3">
        <v>854.37</v>
      </c>
      <c r="E35" s="3">
        <f t="shared" si="2"/>
        <v>2.3295641790553989</v>
      </c>
      <c r="F35" s="3">
        <f t="shared" si="3"/>
        <v>1.0940491693411971</v>
      </c>
      <c r="G35" s="3">
        <f t="shared" si="0"/>
        <v>2.5486577550225671</v>
      </c>
      <c r="H35" s="3">
        <f>IF(G35="","",G35*C35/1000)</f>
        <v>0.76459732650677015</v>
      </c>
      <c r="I35" s="3">
        <f>IF(H35="","",H35/B35*100)</f>
        <v>25.486577550225668</v>
      </c>
      <c r="J35" s="3">
        <f>IF(I35="","",100-I35)</f>
        <v>74.513422449774339</v>
      </c>
    </row>
    <row r="36" spans="1:10" s="3" customFormat="1">
      <c r="A36" s="3" t="s">
        <v>47</v>
      </c>
      <c r="D36" s="3">
        <v>687.44</v>
      </c>
      <c r="E36" s="3">
        <f t="shared" si="2"/>
        <v>1.8280714030470302</v>
      </c>
      <c r="F36" s="3">
        <f>IF(E36="","",2/E$36)</f>
        <v>1.0940491693411971</v>
      </c>
      <c r="G36" s="3">
        <f t="shared" si="0"/>
        <v>2</v>
      </c>
    </row>
    <row r="37" spans="1:10" s="3" customFormat="1">
      <c r="A37" s="3" t="s">
        <v>50</v>
      </c>
      <c r="B37" s="3">
        <v>6</v>
      </c>
      <c r="C37" s="3">
        <v>600</v>
      </c>
      <c r="D37" s="3">
        <v>921.47</v>
      </c>
      <c r="E37" s="3">
        <f t="shared" si="2"/>
        <v>2.5311466703401386</v>
      </c>
      <c r="F37" s="3">
        <f t="shared" ref="F37:F40" si="4">IF(E37="","",2/E$36)</f>
        <v>1.0940491693411971</v>
      </c>
      <c r="G37" s="3">
        <f t="shared" si="0"/>
        <v>2.7691989121663654</v>
      </c>
      <c r="H37" s="3">
        <f>IF(G37="","",G37*C37/1000)</f>
        <v>1.6615193472998191</v>
      </c>
      <c r="I37" s="3">
        <f>IF(H37="","",H37/B37*100)</f>
        <v>27.691989121663653</v>
      </c>
      <c r="J37" s="3">
        <f>IF(I37="","",100-I37)</f>
        <v>72.308010878336347</v>
      </c>
    </row>
    <row r="38" spans="1:10" s="3" customFormat="1">
      <c r="A38" s="3" t="s">
        <v>50</v>
      </c>
      <c r="B38" s="3">
        <v>10</v>
      </c>
      <c r="C38" s="3">
        <v>1000</v>
      </c>
      <c r="D38" s="3">
        <v>1159.56</v>
      </c>
      <c r="E38" s="3">
        <f t="shared" si="2"/>
        <v>3.2464190302504754</v>
      </c>
      <c r="F38" s="3">
        <f t="shared" si="4"/>
        <v>1.0940491693411971</v>
      </c>
      <c r="G38" s="3">
        <f t="shared" si="0"/>
        <v>3.5517420433789875</v>
      </c>
      <c r="H38" s="3">
        <f>IF(G38="","",G38*C38/1000)</f>
        <v>3.5517420433789875</v>
      </c>
      <c r="I38" s="3">
        <f>IF(H38="","",H38/B38*100)</f>
        <v>35.517420433789873</v>
      </c>
      <c r="J38" s="3">
        <f>IF(I38="","",100-I38)</f>
        <v>64.48257956621012</v>
      </c>
    </row>
    <row r="39" spans="1:10" s="3" customFormat="1">
      <c r="A39" s="3" t="s">
        <v>50</v>
      </c>
      <c r="B39" s="3">
        <v>20</v>
      </c>
      <c r="C39" s="3">
        <v>2000</v>
      </c>
      <c r="D39" s="3">
        <v>1364.4</v>
      </c>
      <c r="E39" s="3">
        <f t="shared" si="2"/>
        <v>3.861801407519716</v>
      </c>
      <c r="F39" s="3">
        <f t="shared" si="4"/>
        <v>1.0940491693411971</v>
      </c>
      <c r="G39" s="3">
        <f t="shared" si="0"/>
        <v>4.2250006220576113</v>
      </c>
      <c r="H39" s="3">
        <f>IF(G39="","",G39*C39/1000)</f>
        <v>8.4500012441152226</v>
      </c>
      <c r="I39" s="3">
        <f>IF(H39="","",H39/B39*100)</f>
        <v>42.250006220576111</v>
      </c>
      <c r="J39" s="3">
        <f>IF(I39="","",100-I39)</f>
        <v>57.749993779423889</v>
      </c>
    </row>
    <row r="40" spans="1:10" s="3" customFormat="1">
      <c r="A40" s="3" t="s">
        <v>50</v>
      </c>
      <c r="B40" s="3">
        <v>50</v>
      </c>
      <c r="C40" s="3">
        <v>5000</v>
      </c>
      <c r="D40" s="3">
        <v>1415.17</v>
      </c>
      <c r="E40" s="3">
        <f t="shared" si="2"/>
        <v>4.0143251494351588</v>
      </c>
      <c r="F40" s="3">
        <f t="shared" si="4"/>
        <v>1.0940491693411971</v>
      </c>
      <c r="G40" s="3">
        <f t="shared" si="0"/>
        <v>4.3918690952050126</v>
      </c>
      <c r="H40" s="3">
        <f>IF(G40="","",G40*C40/1000)</f>
        <v>21.959345476025064</v>
      </c>
      <c r="I40" s="3">
        <f>IF(H40="","",H40/B40*100)</f>
        <v>43.918690952050127</v>
      </c>
      <c r="J40" s="3">
        <f>IF(I40="","",100-I40)</f>
        <v>56.081309047949873</v>
      </c>
    </row>
    <row r="41" spans="1:10">
      <c r="A41" s="2" t="s">
        <v>47</v>
      </c>
      <c r="E41" s="2" t="str">
        <f>IF(D41="","",(D41-$M$4)/$M$3)</f>
        <v/>
      </c>
      <c r="F41" s="2" t="str">
        <f>IF(E41="","",$F$6/E41)</f>
        <v/>
      </c>
      <c r="G41" s="2" t="str">
        <f t="shared" si="0"/>
        <v/>
      </c>
    </row>
    <row r="42" spans="1:10">
      <c r="A42" s="2" t="s">
        <v>51</v>
      </c>
      <c r="B42" s="2">
        <v>0.05</v>
      </c>
      <c r="C42" s="2">
        <v>1.1160000000000001</v>
      </c>
      <c r="E42" s="2" t="str">
        <f t="shared" ref="E42:E51" si="5">IF(D42="","",(D42-$M$4)/$M$3)</f>
        <v/>
      </c>
      <c r="F42" s="2" t="str">
        <f>IF(E42="","",F$41)</f>
        <v/>
      </c>
      <c r="G42" s="2" t="str">
        <f t="shared" si="0"/>
        <v/>
      </c>
      <c r="H42" s="2" t="str">
        <f>IF(G42="","",G42*C42/1000)</f>
        <v/>
      </c>
      <c r="I42" s="2" t="str">
        <f>IF(H42="","",H42/B42*100)</f>
        <v/>
      </c>
      <c r="J42" s="2" t="str">
        <f>IF(I42="","",100-I42)</f>
        <v/>
      </c>
    </row>
    <row r="43" spans="1:10">
      <c r="A43" s="2" t="s">
        <v>51</v>
      </c>
      <c r="B43" s="2">
        <v>0.5</v>
      </c>
      <c r="C43" s="2">
        <v>5</v>
      </c>
      <c r="E43" s="2" t="str">
        <f t="shared" si="5"/>
        <v/>
      </c>
      <c r="F43" s="2" t="str">
        <f>IF(E43="","",F$41)</f>
        <v/>
      </c>
      <c r="G43" s="2" t="str">
        <f t="shared" ref="G43:G74" si="6">IF(E43="","",E43*F43)</f>
        <v/>
      </c>
      <c r="H43" s="2" t="str">
        <f>IF(G43="","",G43*C43/1000)</f>
        <v/>
      </c>
      <c r="I43" s="2" t="str">
        <f>IF(H43="","",H43/B43*100)</f>
        <v/>
      </c>
      <c r="J43" s="2" t="str">
        <f>IF(I43="","",100-I43)</f>
        <v/>
      </c>
    </row>
    <row r="44" spans="1:10">
      <c r="A44" s="2" t="s">
        <v>51</v>
      </c>
      <c r="B44" s="2">
        <v>1</v>
      </c>
      <c r="C44" s="2">
        <v>100</v>
      </c>
      <c r="E44" s="2" t="str">
        <f t="shared" si="5"/>
        <v/>
      </c>
      <c r="F44" s="2" t="str">
        <f>IF(E44="","",F$41)</f>
        <v/>
      </c>
      <c r="G44" s="2" t="str">
        <f t="shared" si="6"/>
        <v/>
      </c>
      <c r="H44" s="2" t="str">
        <f>IF(G44="","",G44*C44/1000)</f>
        <v/>
      </c>
      <c r="I44" s="2" t="str">
        <f>IF(H44="","",H44/B44*100)</f>
        <v/>
      </c>
      <c r="J44" s="2" t="str">
        <f>IF(I44="","",100-I44)</f>
        <v/>
      </c>
    </row>
    <row r="45" spans="1:10">
      <c r="A45" s="2" t="s">
        <v>51</v>
      </c>
      <c r="B45" s="2">
        <v>3</v>
      </c>
      <c r="C45" s="2">
        <v>300</v>
      </c>
      <c r="E45" s="2" t="str">
        <f t="shared" si="5"/>
        <v/>
      </c>
      <c r="F45" s="2" t="str">
        <f>IF(E45="","",F$41)</f>
        <v/>
      </c>
      <c r="G45" s="2" t="str">
        <f t="shared" si="6"/>
        <v/>
      </c>
      <c r="H45" s="2" t="str">
        <f>IF(G45="","",G45*C45/1000)</f>
        <v/>
      </c>
      <c r="I45" s="2" t="str">
        <f>IF(H45="","",H45/B45*100)</f>
        <v/>
      </c>
      <c r="J45" s="2" t="str">
        <f>IF(I45="","",100-I45)</f>
        <v/>
      </c>
    </row>
    <row r="46" spans="1:10">
      <c r="A46" s="2" t="s">
        <v>47</v>
      </c>
      <c r="E46" s="2" t="str">
        <f t="shared" si="5"/>
        <v/>
      </c>
      <c r="F46" s="2" t="str">
        <f>IF(E46="","",$F$6/E46)</f>
        <v/>
      </c>
      <c r="G46" s="2" t="str">
        <f t="shared" si="6"/>
        <v/>
      </c>
    </row>
    <row r="47" spans="1:10">
      <c r="A47" s="2" t="s">
        <v>51</v>
      </c>
      <c r="B47" s="2">
        <v>6</v>
      </c>
      <c r="C47" s="2">
        <v>600</v>
      </c>
      <c r="E47" s="2" t="str">
        <f t="shared" si="5"/>
        <v/>
      </c>
      <c r="F47" s="2" t="str">
        <f>IF(E47="","",F$46)</f>
        <v/>
      </c>
      <c r="G47" s="2" t="str">
        <f t="shared" si="6"/>
        <v/>
      </c>
      <c r="H47" s="2" t="str">
        <f>IF(G47="","",G47*C47/1000)</f>
        <v/>
      </c>
      <c r="I47" s="2" t="str">
        <f>IF(H47="","",H47/B47*100)</f>
        <v/>
      </c>
      <c r="J47" s="2" t="str">
        <f>IF(I47="","",100-I47)</f>
        <v/>
      </c>
    </row>
    <row r="48" spans="1:10">
      <c r="A48" s="2" t="s">
        <v>51</v>
      </c>
      <c r="B48" s="2">
        <v>10</v>
      </c>
      <c r="C48" s="2">
        <v>1000</v>
      </c>
      <c r="E48" s="2" t="str">
        <f t="shared" si="5"/>
        <v/>
      </c>
      <c r="F48" s="2" t="str">
        <f>IF(E48="","",F$46)</f>
        <v/>
      </c>
      <c r="G48" s="2" t="str">
        <f t="shared" si="6"/>
        <v/>
      </c>
      <c r="H48" s="2" t="str">
        <f>IF(G48="","",G48*C48/1000)</f>
        <v/>
      </c>
      <c r="I48" s="2" t="str">
        <f>IF(H48="","",H48/B48*100)</f>
        <v/>
      </c>
      <c r="J48" s="2" t="str">
        <f>IF(I48="","",100-I48)</f>
        <v/>
      </c>
    </row>
    <row r="49" spans="1:11">
      <c r="A49" s="2" t="s">
        <v>51</v>
      </c>
      <c r="B49" s="2">
        <v>20</v>
      </c>
      <c r="C49" s="2">
        <v>2000</v>
      </c>
      <c r="E49" s="2" t="str">
        <f t="shared" si="5"/>
        <v/>
      </c>
      <c r="F49" s="2" t="str">
        <f>IF(E49="","",F$46)</f>
        <v/>
      </c>
      <c r="G49" s="2" t="str">
        <f t="shared" si="6"/>
        <v/>
      </c>
      <c r="H49" s="2" t="str">
        <f>IF(G49="","",G49*C49/1000)</f>
        <v/>
      </c>
      <c r="I49" s="2" t="str">
        <f>IF(H49="","",H49/B49*100)</f>
        <v/>
      </c>
      <c r="J49" s="2" t="str">
        <f>IF(I49="","",100-I49)</f>
        <v/>
      </c>
    </row>
    <row r="50" spans="1:11">
      <c r="A50" s="2" t="s">
        <v>51</v>
      </c>
      <c r="B50" s="2">
        <v>50</v>
      </c>
      <c r="C50" s="2">
        <v>5000</v>
      </c>
      <c r="E50" s="2" t="str">
        <f t="shared" si="5"/>
        <v/>
      </c>
      <c r="F50" s="2" t="str">
        <f>IF(E50="","",F$46)</f>
        <v/>
      </c>
      <c r="G50" s="2" t="str">
        <f t="shared" si="6"/>
        <v/>
      </c>
      <c r="H50" s="2" t="str">
        <f>IF(G50="","",G50*C50/1000)</f>
        <v/>
      </c>
      <c r="I50" s="2" t="str">
        <f>IF(H50="","",H50/B50*100)</f>
        <v/>
      </c>
      <c r="J50" s="2" t="str">
        <f>IF(I50="","",100-I50)</f>
        <v/>
      </c>
    </row>
    <row r="51" spans="1:11">
      <c r="A51" s="2" t="s">
        <v>47</v>
      </c>
      <c r="E51" s="2" t="str">
        <f t="shared" si="5"/>
        <v/>
      </c>
      <c r="F51" s="2" t="str">
        <f>IF(E51="","",$F$6/E51)</f>
        <v/>
      </c>
      <c r="G51" s="2" t="str">
        <f t="shared" si="6"/>
        <v/>
      </c>
    </row>
    <row r="52" spans="1:11" s="7" customFormat="1">
      <c r="A52" s="7" t="s">
        <v>52</v>
      </c>
      <c r="B52" s="7">
        <v>0.05</v>
      </c>
      <c r="C52" s="7">
        <v>1.1160000000000001</v>
      </c>
      <c r="D52" s="7">
        <v>55.73</v>
      </c>
      <c r="E52" s="7">
        <f>IF(D52="","",(D52-$T$4)/$T$3)</f>
        <v>0.31698598247891924</v>
      </c>
      <c r="F52" s="7">
        <v>0.91616205398873862</v>
      </c>
      <c r="G52" s="7">
        <f t="shared" si="6"/>
        <v>0.29041052879352497</v>
      </c>
      <c r="H52" s="7">
        <f>IF(G52="","",G52*C52/1000)</f>
        <v>3.2409815013357391E-4</v>
      </c>
      <c r="I52" s="7">
        <f>IF(H52="","",H52/B52*100)</f>
        <v>0.64819630026714781</v>
      </c>
      <c r="J52" s="7">
        <f>IF(I52="","",100-I52)</f>
        <v>99.351803699732855</v>
      </c>
    </row>
    <row r="53" spans="1:11" s="7" customFormat="1">
      <c r="A53" s="7" t="s">
        <v>52</v>
      </c>
      <c r="B53" s="7">
        <v>0.5</v>
      </c>
      <c r="C53" s="7">
        <v>5</v>
      </c>
      <c r="D53" s="7">
        <v>841.81</v>
      </c>
      <c r="E53" s="7">
        <f t="shared" ref="E53:E70" si="7">IF(D53="","",(D53-$T$4)/$T$3)</f>
        <v>3.7836556720807657</v>
      </c>
      <c r="F53" s="7">
        <v>0.91616205398873862</v>
      </c>
      <c r="G53" s="7">
        <f t="shared" si="6"/>
        <v>3.4664417521196556</v>
      </c>
      <c r="H53" s="7">
        <f>IF(G53="","",G53*C53/1000)</f>
        <v>1.7332208760598277E-2</v>
      </c>
      <c r="I53" s="7">
        <f>IF(H53="","",H53/B53*100)</f>
        <v>3.4664417521196556</v>
      </c>
      <c r="J53" s="7">
        <f>IF(I53="","",100-I53)</f>
        <v>96.53355824788035</v>
      </c>
    </row>
    <row r="54" spans="1:11" s="7" customFormat="1">
      <c r="A54" s="7" t="s">
        <v>52</v>
      </c>
      <c r="B54" s="7">
        <v>1</v>
      </c>
      <c r="C54" s="7">
        <v>100</v>
      </c>
      <c r="D54" s="7">
        <v>280.56</v>
      </c>
      <c r="E54" s="7">
        <f t="shared" si="7"/>
        <v>1.3085025537098158</v>
      </c>
      <c r="F54" s="7">
        <v>0.91616205398873862</v>
      </c>
      <c r="G54" s="7">
        <f t="shared" si="6"/>
        <v>1.1988003872562947</v>
      </c>
      <c r="H54" s="7">
        <f>IF(G54="","",G54*C54/1000)</f>
        <v>0.11988003872562947</v>
      </c>
      <c r="I54" s="7">
        <f>IF(H54="","",H54/B54*100)</f>
        <v>11.988003872562947</v>
      </c>
      <c r="J54" s="7">
        <f>IF(I54="","",100-I54)</f>
        <v>88.011996127437058</v>
      </c>
    </row>
    <row r="55" spans="1:11" s="7" customFormat="1">
      <c r="A55" s="7" t="s">
        <v>52</v>
      </c>
      <c r="B55" s="7">
        <v>3</v>
      </c>
      <c r="C55" s="7">
        <v>300</v>
      </c>
      <c r="D55" s="7">
        <v>596.64</v>
      </c>
      <c r="E55" s="7">
        <f t="shared" si="7"/>
        <v>2.7024382288183948</v>
      </c>
      <c r="F55" s="7">
        <v>0.91616205398873862</v>
      </c>
      <c r="G55" s="7">
        <f t="shared" si="6"/>
        <v>2.4758713584919492</v>
      </c>
      <c r="H55" s="7">
        <f>IF(G55="","",G55*C55/1000)</f>
        <v>0.7427614075475848</v>
      </c>
      <c r="I55" s="7">
        <f>IF(H55="","",H55/B55*100)</f>
        <v>24.758713584919491</v>
      </c>
      <c r="J55" s="7">
        <f>IF(I55="","",100-I55)</f>
        <v>75.241286415080509</v>
      </c>
    </row>
    <row r="56" spans="1:11" s="7" customFormat="1">
      <c r="A56" s="7" t="s">
        <v>47</v>
      </c>
      <c r="D56" s="7">
        <v>478.86</v>
      </c>
      <c r="E56" s="7">
        <f t="shared" si="7"/>
        <v>2.1830199049311245</v>
      </c>
      <c r="F56" s="7">
        <f>2/E56</f>
        <v>0.91616205398873862</v>
      </c>
      <c r="G56" s="7">
        <f t="shared" si="6"/>
        <v>2</v>
      </c>
    </row>
    <row r="57" spans="1:11" s="7" customFormat="1">
      <c r="A57" s="7" t="s">
        <v>52</v>
      </c>
      <c r="B57" s="7">
        <v>6</v>
      </c>
      <c r="C57" s="7">
        <v>600</v>
      </c>
      <c r="D57" s="7">
        <v>1123.82</v>
      </c>
      <c r="E57" s="7">
        <f t="shared" si="7"/>
        <v>5.0273401815004393</v>
      </c>
      <c r="F57" s="7">
        <f>IF(E57="","",F$56)</f>
        <v>0.91616205398873862</v>
      </c>
      <c r="G57" s="7">
        <f t="shared" si="6"/>
        <v>4.6058583067835608</v>
      </c>
      <c r="H57" s="7">
        <f>IF(G57="","",G57*C57/1000)</f>
        <v>2.7635149840701363</v>
      </c>
      <c r="I57" s="7">
        <f>IF(H57="","",H57/B57*100)</f>
        <v>46.058583067835606</v>
      </c>
      <c r="J57" s="7">
        <f>IF(I57="","",100-I57)</f>
        <v>53.941416932164394</v>
      </c>
    </row>
    <row r="58" spans="1:11" s="7" customFormat="1">
      <c r="A58" s="7" t="s">
        <v>52</v>
      </c>
      <c r="B58" s="7">
        <v>10</v>
      </c>
      <c r="C58" s="7">
        <v>1000</v>
      </c>
      <c r="D58" s="7">
        <v>1538.08</v>
      </c>
      <c r="E58" s="7">
        <f t="shared" si="7"/>
        <v>6.8542567620195474</v>
      </c>
      <c r="F58" s="7">
        <f>IF(E58="","",F$56)</f>
        <v>0.91616205398873862</v>
      </c>
      <c r="G58" s="7">
        <f t="shared" si="6"/>
        <v>6.2796099536580297</v>
      </c>
      <c r="H58" s="7">
        <f>IF(G58="","",G58*C58/1000)</f>
        <v>6.2796099536580297</v>
      </c>
      <c r="I58" s="7">
        <f>IF(H58="","",H58/B58*100)</f>
        <v>62.7960995365803</v>
      </c>
      <c r="J58" s="7">
        <f>IF(I58="","",100-I58)</f>
        <v>37.2039004634197</v>
      </c>
    </row>
    <row r="59" spans="1:11" s="7" customFormat="1">
      <c r="A59" s="7" t="s">
        <v>52</v>
      </c>
      <c r="B59" s="7">
        <v>20</v>
      </c>
      <c r="C59" s="7">
        <v>2000</v>
      </c>
      <c r="D59" s="7">
        <v>1955.42</v>
      </c>
      <c r="E59" s="7">
        <f t="shared" si="7"/>
        <v>8.694756365442144</v>
      </c>
      <c r="F59" s="7">
        <f>IF(E59="","",F$56)</f>
        <v>0.91616205398873862</v>
      </c>
      <c r="G59" s="7">
        <f t="shared" si="6"/>
        <v>7.9658058506951344</v>
      </c>
      <c r="H59" s="7">
        <f>IF(G59="","",G59*C59/1000)</f>
        <v>15.931611701390269</v>
      </c>
      <c r="I59" s="7">
        <f>IF(H59="","",H59/B59*100)</f>
        <v>79.658058506951349</v>
      </c>
      <c r="J59" s="7">
        <f>IF(I59="","",100-I59)</f>
        <v>20.341941493048651</v>
      </c>
    </row>
    <row r="60" spans="1:11" s="7" customFormat="1">
      <c r="A60" s="7" t="s">
        <v>52</v>
      </c>
      <c r="B60" s="7">
        <v>50</v>
      </c>
      <c r="C60" s="7">
        <v>5000</v>
      </c>
      <c r="D60" s="7">
        <v>2194.9499999999998</v>
      </c>
      <c r="E60" s="7">
        <f t="shared" si="7"/>
        <v>9.7511010005305963</v>
      </c>
      <c r="F60" s="7">
        <f>IF(E60="","",F$56)</f>
        <v>0.91616205398873862</v>
      </c>
      <c r="G60" s="7">
        <f t="shared" si="6"/>
        <v>8.9335887212977561</v>
      </c>
      <c r="H60" s="7">
        <f>IF(G60="","",G60*C60/1000)</f>
        <v>44.667943606488777</v>
      </c>
      <c r="I60" s="7">
        <f>IF(H60="","",H60/B60*100)</f>
        <v>89.335887212977553</v>
      </c>
      <c r="J60" s="7">
        <f>IF(I60="","",100-I60)</f>
        <v>10.664112787022447</v>
      </c>
    </row>
    <row r="61" spans="1:11" s="7" customFormat="1">
      <c r="A61" s="7" t="s">
        <v>47</v>
      </c>
      <c r="D61" s="7">
        <v>2374.9499999999998</v>
      </c>
      <c r="E61" s="7">
        <f t="shared" si="7"/>
        <v>10.544914027357805</v>
      </c>
      <c r="F61" s="7">
        <f>IF(E61="","",10/E61)</f>
        <v>0.94832446941301973</v>
      </c>
      <c r="G61" s="7">
        <f t="shared" si="6"/>
        <v>10</v>
      </c>
    </row>
    <row r="62" spans="1:11" s="10" customFormat="1">
      <c r="A62" s="10" t="s">
        <v>53</v>
      </c>
      <c r="B62" s="10">
        <v>0.05</v>
      </c>
      <c r="C62" s="10">
        <v>1.1160000000000001</v>
      </c>
      <c r="E62" s="10" t="str">
        <f t="shared" si="7"/>
        <v/>
      </c>
      <c r="F62" s="10" t="str">
        <f>IF(E62="","",F$61)</f>
        <v/>
      </c>
      <c r="G62" s="10" t="str">
        <f t="shared" si="6"/>
        <v/>
      </c>
      <c r="H62" s="10" t="str">
        <f>IF(G62="","",G62*C62/1000)</f>
        <v/>
      </c>
      <c r="I62" s="10" t="str">
        <f>IF(H62="","",H62/B62*100)</f>
        <v/>
      </c>
      <c r="J62" s="10" t="str">
        <f>IF(I62="","",100-I62)</f>
        <v/>
      </c>
      <c r="K62" s="10" t="s">
        <v>57</v>
      </c>
    </row>
    <row r="63" spans="1:11" s="7" customFormat="1">
      <c r="A63" s="7" t="s">
        <v>53</v>
      </c>
      <c r="B63" s="7">
        <v>0.5</v>
      </c>
      <c r="C63" s="7">
        <v>5</v>
      </c>
      <c r="D63" s="7">
        <v>5699.08</v>
      </c>
      <c r="E63" s="7">
        <f t="shared" si="7"/>
        <v>25.204567898841862</v>
      </c>
      <c r="F63" s="7">
        <f>IF(E63="","",F$61)</f>
        <v>0.94832446941301973</v>
      </c>
      <c r="G63" s="7">
        <f t="shared" si="6"/>
        <v>23.902108479453638</v>
      </c>
      <c r="H63" s="7">
        <f>IF(G63="","",G63*C63/1000)</f>
        <v>0.11951054239726819</v>
      </c>
      <c r="I63" s="7">
        <f>IF(H63="","",H63/B63*100)</f>
        <v>23.902108479453638</v>
      </c>
      <c r="J63" s="7">
        <f>IF(I63="","",100-I63)</f>
        <v>76.097891520546369</v>
      </c>
    </row>
    <row r="64" spans="1:11" s="7" customFormat="1">
      <c r="A64" s="7" t="s">
        <v>53</v>
      </c>
      <c r="B64" s="7">
        <v>1</v>
      </c>
      <c r="C64" s="7">
        <v>100</v>
      </c>
      <c r="D64" s="7">
        <v>709.05</v>
      </c>
      <c r="E64" s="7">
        <f t="shared" si="7"/>
        <v>3.1981744640719865</v>
      </c>
      <c r="F64" s="7">
        <f>IF(E64="","",F$61)</f>
        <v>0.94832446941301973</v>
      </c>
      <c r="G64" s="7">
        <f t="shared" si="6"/>
        <v>3.0329071017313352</v>
      </c>
      <c r="H64" s="7">
        <f>IF(G64="","",G64*C64/1000)</f>
        <v>0.30329071017313353</v>
      </c>
      <c r="I64" s="7">
        <f>IF(H64="","",H64/B64*100)</f>
        <v>30.329071017313353</v>
      </c>
      <c r="J64" s="7">
        <f>IF(I64="","",100-I64)</f>
        <v>69.670928982686647</v>
      </c>
    </row>
    <row r="65" spans="1:10" s="7" customFormat="1">
      <c r="A65" s="7" t="s">
        <v>53</v>
      </c>
      <c r="B65" s="7">
        <v>3</v>
      </c>
      <c r="C65" s="7">
        <v>300</v>
      </c>
      <c r="D65" s="7">
        <v>1159.77</v>
      </c>
      <c r="E65" s="7">
        <f t="shared" si="7"/>
        <v>5.1858822832473175</v>
      </c>
      <c r="F65" s="7">
        <f>IF(E65="","",F$61)</f>
        <v>0.94832446941301973</v>
      </c>
      <c r="G65" s="7">
        <f t="shared" si="6"/>
        <v>4.9178990646988918</v>
      </c>
      <c r="H65" s="7">
        <f>IF(G65="","",G65*C65/1000)</f>
        <v>1.4753697194096675</v>
      </c>
      <c r="I65" s="7">
        <f>IF(H65="","",H65/B65*100)</f>
        <v>49.178990646988922</v>
      </c>
      <c r="J65" s="7">
        <f>IF(I65="","",100-I65)</f>
        <v>50.821009353011078</v>
      </c>
    </row>
    <row r="66" spans="1:10" s="7" customFormat="1">
      <c r="A66" s="7" t="s">
        <v>47</v>
      </c>
      <c r="D66" s="7">
        <v>1091.67</v>
      </c>
      <c r="E66" s="7">
        <f t="shared" si="7"/>
        <v>4.8855563547643577</v>
      </c>
      <c r="F66" s="7">
        <f>IF(E66="","",5/E66)</f>
        <v>1.0234248951245926</v>
      </c>
      <c r="G66" s="7">
        <f t="shared" si="6"/>
        <v>4.9999999999999991</v>
      </c>
    </row>
    <row r="67" spans="1:10" s="7" customFormat="1">
      <c r="A67" s="7" t="s">
        <v>53</v>
      </c>
      <c r="B67" s="7">
        <v>6</v>
      </c>
      <c r="C67" s="7">
        <v>600</v>
      </c>
      <c r="D67" s="7">
        <v>1434.62</v>
      </c>
      <c r="E67" s="7">
        <f t="shared" si="7"/>
        <v>6.3979906744887529</v>
      </c>
      <c r="F67" s="7">
        <f>IF(E67="","",F$66)</f>
        <v>1.0234248951245926</v>
      </c>
      <c r="G67" s="7">
        <f t="shared" si="6"/>
        <v>6.5478629350467727</v>
      </c>
      <c r="H67" s="7">
        <f>IF(G67="","",G67*C67/1000)</f>
        <v>3.9287177610280639</v>
      </c>
      <c r="I67" s="7">
        <f>IF(H67="","",H67/B67*100)</f>
        <v>65.478629350467727</v>
      </c>
      <c r="J67" s="7">
        <f>IF(I67="","",100-I67)</f>
        <v>34.521370649532273</v>
      </c>
    </row>
    <row r="68" spans="1:10" s="7" customFormat="1">
      <c r="A68" s="7" t="s">
        <v>53</v>
      </c>
      <c r="B68" s="7">
        <v>10</v>
      </c>
      <c r="C68" s="7">
        <v>1000</v>
      </c>
      <c r="D68" s="7">
        <v>1583.12</v>
      </c>
      <c r="E68" s="7">
        <f t="shared" si="7"/>
        <v>7.0528864216212002</v>
      </c>
      <c r="F68" s="7">
        <f>IF(E68="","",F$66)</f>
        <v>1.0234248951245926</v>
      </c>
      <c r="G68" s="7">
        <f t="shared" si="6"/>
        <v>7.2180995463733399</v>
      </c>
      <c r="H68" s="7">
        <f>IF(G68="","",G68*C68/1000)</f>
        <v>7.2180995463733399</v>
      </c>
      <c r="I68" s="7">
        <f>IF(H68="","",H68/B68*100)</f>
        <v>72.180995463733396</v>
      </c>
      <c r="J68" s="7">
        <f>IF(I68="","",100-I68)</f>
        <v>27.819004536266604</v>
      </c>
    </row>
    <row r="69" spans="1:10" s="7" customFormat="1">
      <c r="A69" s="7" t="s">
        <v>53</v>
      </c>
      <c r="B69" s="7">
        <v>20</v>
      </c>
      <c r="C69" s="7">
        <v>2000</v>
      </c>
      <c r="D69" s="7">
        <v>1886.6</v>
      </c>
      <c r="E69" s="7">
        <f t="shared" si="7"/>
        <v>8.3912551848518753</v>
      </c>
      <c r="F69" s="7">
        <f>IF(E69="","",F$66)</f>
        <v>1.0234248951245926</v>
      </c>
      <c r="G69" s="7">
        <f t="shared" si="6"/>
        <v>8.5878194575207232</v>
      </c>
      <c r="H69" s="7">
        <f>IF(G69="","",G69*C69/1000)</f>
        <v>17.175638915041446</v>
      </c>
      <c r="I69" s="7">
        <f>IF(H69="","",H69/B69*100)</f>
        <v>85.878194575207232</v>
      </c>
      <c r="J69" s="7">
        <f>IF(I69="","",100-I69)</f>
        <v>14.121805424792768</v>
      </c>
    </row>
    <row r="70" spans="1:10" s="7" customFormat="1">
      <c r="A70" s="7" t="s">
        <v>53</v>
      </c>
      <c r="B70" s="7">
        <v>50</v>
      </c>
      <c r="C70" s="7">
        <v>5000</v>
      </c>
      <c r="E70" s="7" t="str">
        <f t="shared" si="7"/>
        <v/>
      </c>
      <c r="F70" s="7" t="str">
        <f>IF(E70="","",F$66)</f>
        <v/>
      </c>
      <c r="G70" s="7" t="str">
        <f t="shared" si="6"/>
        <v/>
      </c>
      <c r="H70" s="7" t="str">
        <f>IF(G70="","",G70*C70/1000)</f>
        <v/>
      </c>
      <c r="I70" s="7" t="str">
        <f>IF(H70="","",H70/B70*100)</f>
        <v/>
      </c>
      <c r="J70" s="7" t="str">
        <f>IF(I70="","",100-I70)</f>
        <v/>
      </c>
    </row>
    <row r="71" spans="1:10" s="3" customFormat="1">
      <c r="A71" s="3" t="s">
        <v>47</v>
      </c>
      <c r="D71" s="3">
        <v>666.17</v>
      </c>
      <c r="E71" s="3">
        <f t="shared" ref="E71:E74" si="8">IF(D71="","",(D71-$F$4)/$F$3)</f>
        <v>1.7641718562567705</v>
      </c>
      <c r="F71" s="3">
        <f>IF(E71="","",2/E71)</f>
        <v>1.1336764005767619</v>
      </c>
      <c r="G71" s="3">
        <f t="shared" si="6"/>
        <v>2</v>
      </c>
    </row>
    <row r="72" spans="1:10" s="3" customFormat="1">
      <c r="A72" s="3" t="s">
        <v>54</v>
      </c>
      <c r="B72" s="3">
        <v>0.05</v>
      </c>
      <c r="C72" s="3">
        <v>1.1160000000000001</v>
      </c>
      <c r="D72" s="3">
        <v>1097.28</v>
      </c>
      <c r="E72" s="3">
        <f t="shared" si="8"/>
        <v>3.0593168311861896</v>
      </c>
      <c r="F72" s="3">
        <f>IF(E72="","",F$71)</f>
        <v>1.1336764005767619</v>
      </c>
      <c r="G72" s="3">
        <f t="shared" si="6"/>
        <v>3.4682752934030643</v>
      </c>
      <c r="H72" s="3">
        <f>IF(G72="","",G72*C72/1000)</f>
        <v>3.87059522743782E-3</v>
      </c>
      <c r="I72" s="3">
        <f>IF(H72="","",H72/B72*100)</f>
        <v>7.7411904548756389</v>
      </c>
      <c r="J72" s="3">
        <f>IF(I72="","",100-I72)</f>
        <v>92.258809545124365</v>
      </c>
    </row>
    <row r="73" spans="1:10" s="3" customFormat="1">
      <c r="A73" s="3" t="s">
        <v>54</v>
      </c>
      <c r="B73" s="3">
        <v>0.5</v>
      </c>
      <c r="C73" s="3">
        <v>5</v>
      </c>
      <c r="D73" s="3">
        <v>2536.79</v>
      </c>
      <c r="E73" s="3">
        <f t="shared" si="8"/>
        <v>7.3839071743947624</v>
      </c>
      <c r="F73" s="3">
        <f>IF(E73="","",F$71)</f>
        <v>1.1336764005767619</v>
      </c>
      <c r="G73" s="3">
        <f t="shared" si="6"/>
        <v>8.3709613076607834</v>
      </c>
      <c r="H73" s="3">
        <f>IF(G73="","",G73*C73/1000)</f>
        <v>4.1854806538303917E-2</v>
      </c>
      <c r="I73" s="3">
        <f>IF(H73="","",H73/B73*100)</f>
        <v>8.3709613076607834</v>
      </c>
      <c r="J73" s="3">
        <f>IF(I73="","",100-I73)</f>
        <v>91.629038692339222</v>
      </c>
    </row>
    <row r="74" spans="1:10" s="3" customFormat="1">
      <c r="A74" s="3" t="s">
        <v>54</v>
      </c>
      <c r="B74" s="3">
        <v>1</v>
      </c>
      <c r="C74" s="3">
        <v>100</v>
      </c>
      <c r="D74" s="3">
        <v>250.92</v>
      </c>
      <c r="E74" s="3">
        <f t="shared" si="8"/>
        <v>0.51667365199465354</v>
      </c>
      <c r="F74" s="3">
        <f>IF(E74="","",F$71)</f>
        <v>1.1336764005767619</v>
      </c>
      <c r="G74" s="3">
        <f t="shared" si="6"/>
        <v>0.58574072606614935</v>
      </c>
      <c r="H74" s="3">
        <f>IF(G74="","",G74*C74/1000)</f>
        <v>5.8574072606614937E-2</v>
      </c>
      <c r="I74" s="3">
        <f>IF(H74="","",H74/B74*100)</f>
        <v>5.8574072606614935</v>
      </c>
      <c r="J74" s="3">
        <f>IF(I74="","",100-I74)</f>
        <v>94.142592739338511</v>
      </c>
    </row>
    <row r="75" spans="1:10" s="3" customFormat="1">
      <c r="A75" s="3" t="s">
        <v>54</v>
      </c>
      <c r="B75" s="3">
        <v>3</v>
      </c>
      <c r="C75" s="3">
        <v>300</v>
      </c>
      <c r="D75" s="3">
        <v>345.98</v>
      </c>
      <c r="E75" s="3">
        <f t="shared" ref="E75:E80" si="9">IF(D75="","",(D75-$F$4)/$F$3)</f>
        <v>0.80225385499804158</v>
      </c>
      <c r="F75" s="3">
        <f>IF(E75="","",F$71)</f>
        <v>1.1336764005767619</v>
      </c>
      <c r="G75" s="3">
        <f t="shared" ref="G75:G90" si="10">IF(E75="","",E75*F75)</f>
        <v>0.9094962626830112</v>
      </c>
      <c r="H75" s="3">
        <f>IF(G75="","",G75*C75/1000)</f>
        <v>0.27284887880490333</v>
      </c>
      <c r="I75" s="3">
        <f>IF(H75="","",H75/B75*100)</f>
        <v>9.0949626268301103</v>
      </c>
      <c r="J75" s="3">
        <f>IF(I75="","",100-I75)</f>
        <v>90.90503737316989</v>
      </c>
    </row>
    <row r="76" spans="1:10" s="3" customFormat="1">
      <c r="A76" s="3" t="s">
        <v>47</v>
      </c>
      <c r="D76" s="3">
        <v>683.51</v>
      </c>
      <c r="E76" s="3">
        <f t="shared" si="9"/>
        <v>1.8162648577303531</v>
      </c>
      <c r="F76" s="3">
        <f>IF(E76="","",2/E76)</f>
        <v>1.1011609851325574</v>
      </c>
      <c r="G76" s="3">
        <f t="shared" si="10"/>
        <v>1.9999999999999998</v>
      </c>
    </row>
    <row r="77" spans="1:10" s="3" customFormat="1">
      <c r="A77" s="3" t="s">
        <v>54</v>
      </c>
      <c r="B77" s="3">
        <v>6</v>
      </c>
      <c r="C77" s="3">
        <v>600</v>
      </c>
      <c r="D77" s="3">
        <v>510.7</v>
      </c>
      <c r="E77" s="3">
        <f t="shared" si="9"/>
        <v>1.2971073268970323</v>
      </c>
      <c r="F77" s="3">
        <f>IF(E77="","",F$76)</f>
        <v>1.1011609851325574</v>
      </c>
      <c r="G77" s="3">
        <f t="shared" si="10"/>
        <v>1.4283239819085944</v>
      </c>
      <c r="H77" s="3">
        <f>IF(G77="","",G77*C77/1000)</f>
        <v>0.85699438914515669</v>
      </c>
      <c r="I77" s="3">
        <f>IF(H77="","",H77/B77*100)</f>
        <v>14.283239819085944</v>
      </c>
      <c r="J77" s="3">
        <f>IF(I77="","",100-I77)</f>
        <v>85.716760180914051</v>
      </c>
    </row>
    <row r="78" spans="1:10" s="3" customFormat="1">
      <c r="A78" s="3" t="s">
        <v>54</v>
      </c>
      <c r="B78" s="3">
        <v>10</v>
      </c>
      <c r="C78" s="3">
        <v>1000</v>
      </c>
      <c r="D78" s="3">
        <v>659.02</v>
      </c>
      <c r="E78" s="3">
        <f t="shared" si="9"/>
        <v>1.7426917547264293</v>
      </c>
      <c r="F78" s="3">
        <f>IF(E78="","",F$76)</f>
        <v>1.1011609851325574</v>
      </c>
      <c r="G78" s="3">
        <f t="shared" si="10"/>
        <v>1.9189841694169401</v>
      </c>
      <c r="H78" s="3">
        <f>IF(G78="","",G78*C78/1000)</f>
        <v>1.9189841694169401</v>
      </c>
      <c r="I78" s="3">
        <f>IF(H78="","",H78/B78*100)</f>
        <v>19.189841694169402</v>
      </c>
      <c r="J78" s="3">
        <f>IF(I78="","",100-I78)</f>
        <v>80.810158305830598</v>
      </c>
    </row>
    <row r="79" spans="1:10" s="3" customFormat="1">
      <c r="A79" s="3" t="s">
        <v>54</v>
      </c>
      <c r="B79" s="3">
        <v>20</v>
      </c>
      <c r="C79" s="3">
        <v>2000</v>
      </c>
      <c r="D79" s="3">
        <v>1258.3499999999999</v>
      </c>
      <c r="E79" s="3">
        <f t="shared" si="9"/>
        <v>3.5432049365696914</v>
      </c>
      <c r="F79" s="3">
        <f>IF(E79="","",F$76)</f>
        <v>1.1011609851325574</v>
      </c>
      <c r="G79" s="3">
        <f t="shared" si="10"/>
        <v>3.901639038479622</v>
      </c>
      <c r="H79" s="3">
        <f>IF(G79="","",G79*C79/1000)</f>
        <v>7.803278076959244</v>
      </c>
      <c r="I79" s="3">
        <f>IF(H79="","",H79/B79*100)</f>
        <v>39.016390384796217</v>
      </c>
      <c r="J79" s="3">
        <f>IF(I79="","",100-I79)</f>
        <v>60.983609615203783</v>
      </c>
    </row>
    <row r="80" spans="1:10" s="3" customFormat="1">
      <c r="A80" s="3" t="s">
        <v>54</v>
      </c>
      <c r="B80" s="3">
        <v>50</v>
      </c>
      <c r="C80" s="3">
        <v>5000</v>
      </c>
      <c r="D80" s="3">
        <v>1373.07</v>
      </c>
      <c r="E80" s="3">
        <f t="shared" si="9"/>
        <v>3.8878479082565067</v>
      </c>
      <c r="F80" s="3">
        <f>IF(E80="","",F$76)</f>
        <v>1.1011609851325574</v>
      </c>
      <c r="G80" s="3">
        <f t="shared" si="10"/>
        <v>4.2811464327012878</v>
      </c>
      <c r="H80" s="3">
        <f>IF(G80="","",G80*C80/1000)</f>
        <v>21.405732163506439</v>
      </c>
      <c r="I80" s="3">
        <f>IF(H80="","",H80/B80*100)</f>
        <v>42.811464327012878</v>
      </c>
      <c r="J80" s="3">
        <f>IF(I80="","",100-I80)</f>
        <v>57.188535672987122</v>
      </c>
    </row>
    <row r="81" spans="1:10" s="5" customFormat="1">
      <c r="A81" s="5" t="s">
        <v>47</v>
      </c>
      <c r="E81" s="5" t="str">
        <f>IF(D81="","",(D81-$M$4)/$M$3)</f>
        <v/>
      </c>
      <c r="F81" s="5" t="str">
        <f>IF(E81="","",$F$6/E81)</f>
        <v/>
      </c>
      <c r="G81" s="5" t="str">
        <f t="shared" si="10"/>
        <v/>
      </c>
    </row>
    <row r="82" spans="1:10" s="5" customFormat="1">
      <c r="A82" s="5" t="s">
        <v>55</v>
      </c>
      <c r="B82" s="5">
        <v>0.05</v>
      </c>
      <c r="C82" s="5">
        <v>1.1160000000000001</v>
      </c>
      <c r="D82" s="5">
        <v>1555.97</v>
      </c>
      <c r="E82" s="5">
        <f t="shared" ref="E82:E90" si="11">IF(D82="","",(D82-$M$4)/$M$3)</f>
        <v>8.1485992461548857</v>
      </c>
      <c r="F82" s="5">
        <v>0.94495075974394482</v>
      </c>
      <c r="G82" s="5">
        <f t="shared" si="10"/>
        <v>7.7000250485029955</v>
      </c>
      <c r="H82" s="5">
        <f>IF(G82="","",G82*C82/1000)</f>
        <v>8.5932279541293434E-3</v>
      </c>
      <c r="I82" s="5">
        <f>IF(H82="","",H82/B82*100)</f>
        <v>17.186455908258687</v>
      </c>
      <c r="J82" s="5">
        <f>IF(I82="","",100-I82)</f>
        <v>82.813544091741306</v>
      </c>
    </row>
    <row r="83" spans="1:10" s="5" customFormat="1">
      <c r="A83" s="5" t="s">
        <v>55</v>
      </c>
      <c r="B83" s="5">
        <v>0.5</v>
      </c>
      <c r="C83" s="5">
        <v>5</v>
      </c>
      <c r="D83" s="5">
        <v>3616.23</v>
      </c>
      <c r="E83" s="5">
        <f t="shared" si="11"/>
        <v>18.923213954287082</v>
      </c>
      <c r="F83" s="5">
        <v>0.94495075974394482</v>
      </c>
      <c r="G83" s="5">
        <f t="shared" si="10"/>
        <v>17.881505402900796</v>
      </c>
      <c r="H83" s="5">
        <f>IF(G83="","",G83*C83/1000)</f>
        <v>8.9407527014503982E-2</v>
      </c>
      <c r="I83" s="5">
        <f>IF(H83="","",H83/B83*100)</f>
        <v>17.881505402900796</v>
      </c>
      <c r="J83" s="5">
        <f>IF(I83="","",100-I83)</f>
        <v>82.1184945970992</v>
      </c>
    </row>
    <row r="84" spans="1:10" s="5" customFormat="1">
      <c r="A84" s="5" t="s">
        <v>55</v>
      </c>
      <c r="B84" s="5">
        <v>1</v>
      </c>
      <c r="C84" s="5">
        <v>100</v>
      </c>
      <c r="D84" s="5">
        <v>369.49</v>
      </c>
      <c r="E84" s="5">
        <f t="shared" si="11"/>
        <v>1.9436227582821481</v>
      </c>
      <c r="F84" s="5">
        <v>0.94495075974394482</v>
      </c>
      <c r="G84" s="5">
        <f t="shared" si="10"/>
        <v>1.8366278020943376</v>
      </c>
      <c r="H84" s="5">
        <f>IF(G84="","",G84*C84/1000)</f>
        <v>0.18366278020943377</v>
      </c>
      <c r="I84" s="5">
        <f>IF(H84="","",H84/B84*100)</f>
        <v>18.366278020943376</v>
      </c>
      <c r="J84" s="5">
        <f>IF(I84="","",100-I84)</f>
        <v>81.633721979056617</v>
      </c>
    </row>
    <row r="85" spans="1:10" s="5" customFormat="1">
      <c r="A85" s="5" t="s">
        <v>55</v>
      </c>
      <c r="B85" s="5">
        <v>3</v>
      </c>
      <c r="C85" s="5">
        <v>300</v>
      </c>
      <c r="D85" s="5">
        <v>713.69</v>
      </c>
      <c r="E85" s="5">
        <f t="shared" si="11"/>
        <v>3.7436976918046656</v>
      </c>
      <c r="F85" s="5">
        <v>0.94495075974394482</v>
      </c>
      <c r="G85" s="5">
        <f t="shared" si="10"/>
        <v>3.5376099781224712</v>
      </c>
      <c r="H85" s="5">
        <f>IF(G85="","",G85*C85/1000)</f>
        <v>1.0612829934367414</v>
      </c>
      <c r="I85" s="5">
        <f>IF(H85="","",H85/B85*100)</f>
        <v>35.37609978122471</v>
      </c>
      <c r="J85" s="5">
        <f>IF(I85="","",100-I85)</f>
        <v>64.62390021877529</v>
      </c>
    </row>
    <row r="86" spans="1:10" s="5" customFormat="1">
      <c r="A86" s="5" t="s">
        <v>47</v>
      </c>
      <c r="D86" s="5">
        <v>1009.61</v>
      </c>
      <c r="E86" s="5">
        <f t="shared" si="11"/>
        <v>5.2912809989748668</v>
      </c>
      <c r="F86" s="5">
        <f>IF(E86="","",5/E86)</f>
        <v>0.94495075974394482</v>
      </c>
      <c r="G86" s="5">
        <f t="shared" si="10"/>
        <v>5</v>
      </c>
    </row>
    <row r="87" spans="1:10" s="5" customFormat="1">
      <c r="A87" s="5" t="s">
        <v>55</v>
      </c>
      <c r="B87" s="5">
        <v>6</v>
      </c>
      <c r="C87" s="5">
        <v>600</v>
      </c>
      <c r="D87" s="5">
        <v>951.1</v>
      </c>
      <c r="E87" s="5">
        <f t="shared" si="11"/>
        <v>4.9852891792177418</v>
      </c>
      <c r="F87" s="5">
        <f>IF(E87="","",F$86)</f>
        <v>0.94495075974394482</v>
      </c>
      <c r="G87" s="5">
        <f t="shared" si="10"/>
        <v>4.7108527974450727</v>
      </c>
      <c r="H87" s="5">
        <f>IF(G87="","",G87*C87/1000)</f>
        <v>2.8265116784670434</v>
      </c>
      <c r="I87" s="5">
        <f>IF(H87="","",H87/B87*100)</f>
        <v>47.108527974450723</v>
      </c>
      <c r="J87" s="5">
        <f>IF(I87="","",100-I87)</f>
        <v>52.891472025549277</v>
      </c>
    </row>
    <row r="88" spans="1:10" s="5" customFormat="1">
      <c r="A88" s="5" t="s">
        <v>55</v>
      </c>
      <c r="B88" s="5">
        <v>10</v>
      </c>
      <c r="C88" s="5">
        <v>1000</v>
      </c>
      <c r="D88" s="5">
        <v>1133.47</v>
      </c>
      <c r="E88" s="5">
        <f t="shared" si="11"/>
        <v>5.939036028800837</v>
      </c>
      <c r="F88" s="5">
        <f t="shared" ref="F88:F90" si="12">IF(E88="","",F$86)</f>
        <v>0.94495075974394482</v>
      </c>
      <c r="G88" s="5">
        <f t="shared" si="10"/>
        <v>5.6120966075620116</v>
      </c>
      <c r="H88" s="5">
        <f>IF(G88="","",G88*C88/1000)</f>
        <v>5.6120966075620116</v>
      </c>
      <c r="I88" s="5">
        <f>IF(H88="","",H88/B88*100)</f>
        <v>56.120966075620117</v>
      </c>
      <c r="J88" s="5">
        <f>IF(I88="","",100-I88)</f>
        <v>43.879033924379883</v>
      </c>
    </row>
    <row r="89" spans="1:10" s="5" customFormat="1">
      <c r="A89" s="5" t="s">
        <v>55</v>
      </c>
      <c r="B89" s="5">
        <v>20</v>
      </c>
      <c r="C89" s="5">
        <v>2000</v>
      </c>
      <c r="D89" s="5">
        <v>1598.65</v>
      </c>
      <c r="E89" s="5">
        <f t="shared" si="11"/>
        <v>8.3718043541233378</v>
      </c>
      <c r="F89" s="5">
        <f t="shared" si="12"/>
        <v>0.94495075974394482</v>
      </c>
      <c r="G89" s="5">
        <f t="shared" si="10"/>
        <v>7.9109428848565138</v>
      </c>
      <c r="H89" s="5">
        <f>IF(G89="","",G89*C89/1000)</f>
        <v>15.821885769713028</v>
      </c>
      <c r="I89" s="5">
        <f>IF(H89="","",H89/B89*100)</f>
        <v>79.10942884856513</v>
      </c>
      <c r="J89" s="5">
        <f>IF(I89="","",100-I89)</f>
        <v>20.89057115143487</v>
      </c>
    </row>
    <row r="90" spans="1:10" s="5" customFormat="1">
      <c r="A90" s="5" t="s">
        <v>55</v>
      </c>
      <c r="B90" s="5">
        <v>50</v>
      </c>
      <c r="C90" s="5">
        <v>5000</v>
      </c>
      <c r="D90" s="5">
        <v>933.78</v>
      </c>
      <c r="E90" s="5">
        <f t="shared" si="11"/>
        <v>4.8947101616447899</v>
      </c>
      <c r="F90" s="5">
        <f t="shared" si="12"/>
        <v>0.94495075974394482</v>
      </c>
      <c r="G90" s="5">
        <f t="shared" si="10"/>
        <v>4.6252600859726511</v>
      </c>
      <c r="H90" s="5">
        <f>IF(G90="","",G90*C90/1000)</f>
        <v>23.126300429863257</v>
      </c>
      <c r="I90" s="5">
        <f>IF(H90="","",H90/B90*100)</f>
        <v>46.252600859726513</v>
      </c>
      <c r="J90" s="5">
        <f>IF(I90="","",100-I90)</f>
        <v>53.747399140273487</v>
      </c>
    </row>
  </sheetData>
  <mergeCells count="1">
    <mergeCell ref="A1:L1"/>
  </mergeCells>
  <phoneticPr fontId="3" type="noConversion"/>
  <conditionalFormatting sqref="I11:J11 I31:J41 I71:J80">
    <cfRule type="expression" dxfId="0" priority="1">
      <formula>OR(I11&lt;0,I11&gt;100)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opLeftCell="C1" zoomScaleNormal="100" workbookViewId="0">
      <selection activeCell="J4" sqref="J4"/>
    </sheetView>
  </sheetViews>
  <sheetFormatPr defaultRowHeight="14"/>
  <cols>
    <col min="1" max="1" width="12" style="1" customWidth="1"/>
    <col min="2" max="2" width="24" style="1" customWidth="1"/>
    <col min="3" max="3" width="10" style="1" customWidth="1"/>
    <col min="4" max="6" width="12" style="1" customWidth="1"/>
    <col min="7" max="8" width="13" style="1" customWidth="1"/>
    <col min="9" max="10" width="11" style="1" customWidth="1"/>
    <col min="11" max="11" width="10" style="1" customWidth="1"/>
    <col min="12" max="12" width="12" style="1" customWidth="1"/>
    <col min="13" max="13" width="13" style="1" customWidth="1"/>
    <col min="14" max="14" width="17" style="1" customWidth="1"/>
    <col min="15" max="16384" width="8.6640625" style="1"/>
  </cols>
  <sheetData>
    <row r="1" spans="1:14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>
      <c r="A3" s="1" t="s">
        <v>25</v>
      </c>
      <c r="B3" s="1" t="s">
        <v>18</v>
      </c>
      <c r="C3" s="1" t="s">
        <v>19</v>
      </c>
      <c r="D3" s="1" t="s">
        <v>20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21</v>
      </c>
      <c r="L3" s="1" t="s">
        <v>22</v>
      </c>
      <c r="M3" s="1" t="s">
        <v>38</v>
      </c>
      <c r="N3" s="1" t="s">
        <v>39</v>
      </c>
    </row>
    <row r="4" spans="1:14">
      <c r="A4" s="1">
        <v>0.05</v>
      </c>
      <c r="B4" s="1" t="s">
        <v>23</v>
      </c>
      <c r="C4" s="1">
        <v>1</v>
      </c>
      <c r="D4" s="1">
        <v>1.1160000000000001</v>
      </c>
      <c r="E4" s="1">
        <v>5</v>
      </c>
      <c r="F4" s="1">
        <v>0</v>
      </c>
      <c r="G4" s="1">
        <v>5</v>
      </c>
      <c r="H4" s="6">
        <v>5</v>
      </c>
      <c r="I4" s="6">
        <v>0.1</v>
      </c>
      <c r="J4" s="6">
        <v>0.48</v>
      </c>
      <c r="K4" s="6">
        <v>0</v>
      </c>
      <c r="L4" s="6">
        <v>0</v>
      </c>
      <c r="M4" s="1">
        <v>5.58</v>
      </c>
      <c r="N4" s="1">
        <v>44.802867383500001</v>
      </c>
    </row>
    <row r="5" spans="1:14">
      <c r="A5" s="1">
        <v>0.5</v>
      </c>
      <c r="B5" s="1" t="s">
        <v>40</v>
      </c>
      <c r="C5" s="1">
        <v>5</v>
      </c>
      <c r="D5" s="1">
        <v>5</v>
      </c>
      <c r="E5" s="1">
        <v>1</v>
      </c>
      <c r="F5" s="1">
        <v>0</v>
      </c>
      <c r="G5" s="1">
        <v>1</v>
      </c>
      <c r="H5" s="6">
        <v>1</v>
      </c>
      <c r="I5" s="6">
        <v>0.1</v>
      </c>
      <c r="J5" s="6">
        <v>0.435</v>
      </c>
      <c r="K5" s="6">
        <v>3.4649999999999999</v>
      </c>
      <c r="L5" s="6">
        <v>0</v>
      </c>
      <c r="M5" s="1">
        <v>5</v>
      </c>
      <c r="N5" s="1">
        <v>100</v>
      </c>
    </row>
    <row r="6" spans="1:14">
      <c r="A6" s="1">
        <v>1</v>
      </c>
      <c r="B6" s="1" t="s">
        <v>41</v>
      </c>
      <c r="C6" s="1">
        <v>100</v>
      </c>
      <c r="D6" s="1">
        <v>100</v>
      </c>
      <c r="E6" s="1">
        <v>0.06</v>
      </c>
      <c r="F6" s="1">
        <v>0</v>
      </c>
      <c r="G6" s="1">
        <v>0.06</v>
      </c>
      <c r="H6" s="6">
        <v>0.06</v>
      </c>
      <c r="I6" s="6">
        <v>0.1</v>
      </c>
      <c r="J6" s="6">
        <v>0</v>
      </c>
      <c r="K6" s="6">
        <v>0</v>
      </c>
      <c r="L6" s="6">
        <v>5.84</v>
      </c>
      <c r="M6" s="1">
        <v>6</v>
      </c>
      <c r="N6" s="1">
        <v>10</v>
      </c>
    </row>
    <row r="7" spans="1:14">
      <c r="A7" s="1">
        <v>3</v>
      </c>
      <c r="B7" s="1" t="s">
        <v>42</v>
      </c>
      <c r="C7" s="1">
        <v>300</v>
      </c>
      <c r="D7" s="1">
        <v>300</v>
      </c>
      <c r="E7" s="1">
        <v>0.1</v>
      </c>
      <c r="F7" s="1">
        <v>0.9</v>
      </c>
      <c r="G7" s="1">
        <v>1</v>
      </c>
      <c r="H7" s="6">
        <v>0.2</v>
      </c>
      <c r="I7" s="6">
        <v>0.1</v>
      </c>
      <c r="J7" s="6">
        <v>0</v>
      </c>
      <c r="K7" s="6">
        <v>0</v>
      </c>
      <c r="L7" s="6">
        <v>5.7</v>
      </c>
      <c r="M7" s="1">
        <v>6</v>
      </c>
      <c r="N7" s="1">
        <v>10</v>
      </c>
    </row>
    <row r="8" spans="1:14">
      <c r="A8" s="1">
        <v>6</v>
      </c>
      <c r="B8" s="1" t="s">
        <v>43</v>
      </c>
      <c r="C8" s="1">
        <v>600</v>
      </c>
      <c r="D8" s="1">
        <v>600</v>
      </c>
      <c r="E8" s="1">
        <v>0.1</v>
      </c>
      <c r="F8" s="1">
        <v>0.9</v>
      </c>
      <c r="G8" s="1">
        <v>1</v>
      </c>
      <c r="H8" s="6">
        <v>0.1</v>
      </c>
      <c r="I8" s="6">
        <v>0.1</v>
      </c>
      <c r="J8" s="6">
        <v>0</v>
      </c>
      <c r="K8" s="6">
        <v>0</v>
      </c>
      <c r="L8" s="6">
        <v>5.8</v>
      </c>
      <c r="M8" s="1">
        <v>6</v>
      </c>
      <c r="N8" s="1">
        <v>10</v>
      </c>
    </row>
    <row r="9" spans="1:14">
      <c r="A9" s="1">
        <v>10</v>
      </c>
      <c r="B9" s="1" t="s">
        <v>44</v>
      </c>
      <c r="C9" s="1">
        <v>1000</v>
      </c>
      <c r="D9" s="1">
        <v>1000</v>
      </c>
      <c r="E9" s="1">
        <v>0.1</v>
      </c>
      <c r="F9" s="1">
        <v>0.9</v>
      </c>
      <c r="G9" s="1">
        <v>1</v>
      </c>
      <c r="H9" s="6">
        <v>0.06</v>
      </c>
      <c r="I9" s="6">
        <v>0.1</v>
      </c>
      <c r="J9" s="6">
        <v>0</v>
      </c>
      <c r="K9" s="6">
        <v>0</v>
      </c>
      <c r="L9" s="6">
        <v>5.84</v>
      </c>
      <c r="M9" s="1">
        <v>6</v>
      </c>
      <c r="N9" s="1">
        <v>10</v>
      </c>
    </row>
    <row r="10" spans="1:14">
      <c r="A10" s="1">
        <v>20</v>
      </c>
      <c r="B10" s="1" t="s">
        <v>45</v>
      </c>
      <c r="C10" s="1">
        <v>2000</v>
      </c>
      <c r="D10" s="1">
        <v>2000</v>
      </c>
      <c r="E10" s="1">
        <v>0.1</v>
      </c>
      <c r="F10" s="1">
        <v>1.9</v>
      </c>
      <c r="G10" s="1">
        <v>2</v>
      </c>
      <c r="H10" s="6">
        <v>0.06</v>
      </c>
      <c r="I10" s="6">
        <v>0.1</v>
      </c>
      <c r="J10" s="6">
        <v>0</v>
      </c>
      <c r="K10" s="6">
        <v>0</v>
      </c>
      <c r="L10" s="6">
        <v>5.84</v>
      </c>
      <c r="M10" s="1">
        <v>6</v>
      </c>
      <c r="N10" s="1">
        <v>10</v>
      </c>
    </row>
    <row r="11" spans="1:14">
      <c r="A11" s="1">
        <v>50</v>
      </c>
      <c r="B11" s="1" t="s">
        <v>46</v>
      </c>
      <c r="C11" s="1">
        <v>5000</v>
      </c>
      <c r="D11" s="1">
        <v>5000</v>
      </c>
      <c r="E11" s="1">
        <v>0.1</v>
      </c>
      <c r="F11" s="1">
        <v>9.9</v>
      </c>
      <c r="G11" s="1">
        <v>10</v>
      </c>
      <c r="H11" s="6">
        <v>0.12</v>
      </c>
      <c r="I11" s="6">
        <v>0.1</v>
      </c>
      <c r="J11" s="6">
        <v>0</v>
      </c>
      <c r="K11" s="6">
        <v>0</v>
      </c>
      <c r="L11" s="6">
        <v>5.78</v>
      </c>
      <c r="M11" s="1">
        <v>6</v>
      </c>
      <c r="N11" s="1">
        <v>10</v>
      </c>
    </row>
  </sheetData>
  <mergeCells count="1">
    <mergeCell ref="A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AFS数据</vt:lpstr>
      <vt:lpstr>稀释记录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世琛 郭</cp:lastModifiedBy>
  <dcterms:created xsi:type="dcterms:W3CDTF">2026-09-22T08:35:28Z</dcterms:created>
  <dcterms:modified xsi:type="dcterms:W3CDTF">2026-09-24T03:51:53Z</dcterms:modified>
</cp:coreProperties>
</file>