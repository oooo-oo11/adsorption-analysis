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816BAD4-3C88-4EE2-B24C-2417533036D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FS数据" sheetId="3" r:id="rId1"/>
    <sheet name="稀释记录" sheetId="2" r:id="rId2"/>
  </sheets>
  <calcPr calcId="191029"/>
</workbook>
</file>

<file path=xl/calcChain.xml><?xml version="1.0" encoding="utf-8"?>
<calcChain xmlns="http://schemas.openxmlformats.org/spreadsheetml/2006/main">
  <c r="I23" i="3" l="1"/>
  <c r="E21" i="3"/>
  <c r="F85" i="3" l="1"/>
  <c r="F102" i="3"/>
  <c r="F103" i="3"/>
  <c r="E52" i="3"/>
  <c r="E107" i="3" l="1"/>
  <c r="G87" i="3"/>
  <c r="E103" i="3" l="1"/>
  <c r="E115" i="3"/>
  <c r="E116" i="3"/>
  <c r="E117" i="3"/>
  <c r="E118" i="3"/>
  <c r="E119" i="3"/>
  <c r="E120" i="3"/>
  <c r="E121" i="3"/>
  <c r="E102" i="3"/>
  <c r="E81" i="3"/>
  <c r="E82" i="3"/>
  <c r="E83" i="3"/>
  <c r="E84" i="3"/>
  <c r="E85" i="3"/>
  <c r="E86" i="3"/>
  <c r="E80" i="3"/>
  <c r="E68" i="3"/>
  <c r="E67" i="3"/>
  <c r="E48" i="3"/>
  <c r="E49" i="3"/>
  <c r="E50" i="3"/>
  <c r="E51" i="3"/>
  <c r="E47" i="3"/>
  <c r="E35" i="3"/>
  <c r="E34" i="3"/>
  <c r="E33" i="3"/>
  <c r="G112" i="3" l="1"/>
  <c r="F112" i="3"/>
  <c r="E112" i="3"/>
  <c r="J111" i="3"/>
  <c r="I111" i="3"/>
  <c r="H111" i="3"/>
  <c r="G111" i="3"/>
  <c r="E111" i="3"/>
  <c r="G94" i="3"/>
  <c r="E94" i="3"/>
  <c r="F94" i="3" s="1"/>
  <c r="E87" i="3"/>
  <c r="F86" i="3"/>
  <c r="J77" i="3"/>
  <c r="I77" i="3"/>
  <c r="H77" i="3"/>
  <c r="G77" i="3"/>
  <c r="E77" i="3"/>
  <c r="G69" i="3"/>
  <c r="E69" i="3"/>
  <c r="F69" i="3" s="1"/>
  <c r="E57" i="3"/>
  <c r="F57" i="3" s="1"/>
  <c r="F50" i="3"/>
  <c r="F49" i="3"/>
  <c r="F14" i="3"/>
  <c r="F13" i="3"/>
  <c r="F12" i="3"/>
  <c r="F6" i="3"/>
  <c r="F5" i="3"/>
  <c r="F4" i="3"/>
  <c r="E20" i="3" s="1"/>
  <c r="F62" i="3" l="1"/>
  <c r="F58" i="3"/>
  <c r="F54" i="3"/>
  <c r="F61" i="3"/>
  <c r="F60" i="3"/>
  <c r="F55" i="3"/>
  <c r="F56" i="3"/>
  <c r="F59" i="3"/>
  <c r="F53" i="3"/>
  <c r="E27" i="3"/>
  <c r="E92" i="3"/>
  <c r="E30" i="3"/>
  <c r="E19" i="3"/>
  <c r="G50" i="3"/>
  <c r="H50" i="3" s="1"/>
  <c r="I50" i="3" s="1"/>
  <c r="J50" i="3" s="1"/>
  <c r="E45" i="3"/>
  <c r="E108" i="3"/>
  <c r="E24" i="3"/>
  <c r="E114" i="3"/>
  <c r="E106" i="3"/>
  <c r="E60" i="3"/>
  <c r="E29" i="3"/>
  <c r="E75" i="3"/>
  <c r="E105" i="3"/>
  <c r="E44" i="3"/>
  <c r="G49" i="3"/>
  <c r="H49" i="3" s="1"/>
  <c r="I49" i="3" s="1"/>
  <c r="J49" i="3" s="1"/>
  <c r="E23" i="3"/>
  <c r="E76" i="3"/>
  <c r="E40" i="3"/>
  <c r="E98" i="3"/>
  <c r="E71" i="3"/>
  <c r="E90" i="3"/>
  <c r="E28" i="3"/>
  <c r="G80" i="3"/>
  <c r="H80" i="3" s="1"/>
  <c r="I80" i="3" s="1"/>
  <c r="J80" i="3" s="1"/>
  <c r="E53" i="3"/>
  <c r="G53" i="3" s="1"/>
  <c r="H53" i="3" s="1"/>
  <c r="I53" i="3" s="1"/>
  <c r="J53" i="3" s="1"/>
  <c r="E72" i="3"/>
  <c r="E97" i="3"/>
  <c r="E61" i="3"/>
  <c r="E46" i="3"/>
  <c r="E56" i="3"/>
  <c r="E42" i="3"/>
  <c r="E26" i="3"/>
  <c r="G68" i="3"/>
  <c r="H68" i="3" s="1"/>
  <c r="I68" i="3" s="1"/>
  <c r="J68" i="3" s="1"/>
  <c r="E62" i="3"/>
  <c r="G62" i="3" s="1"/>
  <c r="H62" i="3" s="1"/>
  <c r="I62" i="3" s="1"/>
  <c r="J62" i="3" s="1"/>
  <c r="E79" i="3"/>
  <c r="E59" i="3"/>
  <c r="G59" i="3" s="1"/>
  <c r="H59" i="3" s="1"/>
  <c r="I59" i="3" s="1"/>
  <c r="J59" i="3" s="1"/>
  <c r="E109" i="3"/>
  <c r="E38" i="3"/>
  <c r="G48" i="3"/>
  <c r="H48" i="3" s="1"/>
  <c r="I48" i="3" s="1"/>
  <c r="J48" i="3" s="1"/>
  <c r="G86" i="3"/>
  <c r="G57" i="3"/>
  <c r="G103" i="3"/>
  <c r="H103" i="3" s="1"/>
  <c r="I103" i="3" s="1"/>
  <c r="J103" i="3" s="1"/>
  <c r="E37" i="3"/>
  <c r="E101" i="3"/>
  <c r="E64" i="3"/>
  <c r="E31" i="3"/>
  <c r="E41" i="3"/>
  <c r="E74" i="3"/>
  <c r="E89" i="3"/>
  <c r="E100" i="3"/>
  <c r="E63" i="3"/>
  <c r="E78" i="3"/>
  <c r="E93" i="3"/>
  <c r="E104" i="3"/>
  <c r="E113" i="3"/>
  <c r="E91" i="3"/>
  <c r="E39" i="3"/>
  <c r="E54" i="3"/>
  <c r="G54" i="3" s="1"/>
  <c r="H54" i="3" s="1"/>
  <c r="I54" i="3" s="1"/>
  <c r="J54" i="3" s="1"/>
  <c r="E65" i="3"/>
  <c r="E95" i="3"/>
  <c r="E32" i="3"/>
  <c r="E43" i="3"/>
  <c r="E58" i="3"/>
  <c r="G58" i="3" s="1"/>
  <c r="H58" i="3" s="1"/>
  <c r="I58" i="3" s="1"/>
  <c r="J58" i="3" s="1"/>
  <c r="E25" i="3"/>
  <c r="E36" i="3"/>
  <c r="E22" i="3"/>
  <c r="E73" i="3"/>
  <c r="E88" i="3"/>
  <c r="E99" i="3"/>
  <c r="E110" i="3"/>
  <c r="E55" i="3"/>
  <c r="G55" i="3" s="1"/>
  <c r="H55" i="3" s="1"/>
  <c r="I55" i="3" s="1"/>
  <c r="J55" i="3" s="1"/>
  <c r="E66" i="3"/>
  <c r="E70" i="3"/>
  <c r="E96" i="3"/>
  <c r="F27" i="3" l="1"/>
  <c r="G102" i="3"/>
  <c r="H102" i="3" s="1"/>
  <c r="I102" i="3" s="1"/>
  <c r="J102" i="3" s="1"/>
  <c r="F21" i="3"/>
  <c r="F118" i="3"/>
  <c r="G118" i="3" s="1"/>
  <c r="F39" i="3"/>
  <c r="F88" i="3"/>
  <c r="F81" i="3"/>
  <c r="G81" i="3" s="1"/>
  <c r="G52" i="3"/>
  <c r="H52" i="3" s="1"/>
  <c r="I52" i="3" s="1"/>
  <c r="J52" i="3" s="1"/>
  <c r="F100" i="3"/>
  <c r="G100" i="3"/>
  <c r="F45" i="3"/>
  <c r="G45" i="3"/>
  <c r="G56" i="3"/>
  <c r="H56" i="3" s="1"/>
  <c r="I56" i="3" s="1"/>
  <c r="J56" i="3" s="1"/>
  <c r="F75" i="3"/>
  <c r="G61" i="3"/>
  <c r="H61" i="3" s="1"/>
  <c r="I61" i="3" s="1"/>
  <c r="J61" i="3" s="1"/>
  <c r="G60" i="3"/>
  <c r="H60" i="3" s="1"/>
  <c r="I60" i="3" s="1"/>
  <c r="J60" i="3" s="1"/>
  <c r="F33" i="3"/>
  <c r="F106" i="3"/>
  <c r="G106" i="3"/>
  <c r="G63" i="3"/>
  <c r="F63" i="3"/>
  <c r="G85" i="3"/>
  <c r="H85" i="3" s="1"/>
  <c r="I85" i="3" s="1"/>
  <c r="J85" i="3" s="1"/>
  <c r="F51" i="3"/>
  <c r="F52" i="3" s="1"/>
  <c r="G51" i="3"/>
  <c r="F23" i="3" l="1"/>
  <c r="G23" i="3" s="1"/>
  <c r="H23" i="3" s="1"/>
  <c r="J23" i="3" s="1"/>
  <c r="F24" i="3"/>
  <c r="G24" i="3" s="1"/>
  <c r="H24" i="3" s="1"/>
  <c r="I24" i="3" s="1"/>
  <c r="J24" i="3" s="1"/>
  <c r="F19" i="3"/>
  <c r="G19" i="3" s="1"/>
  <c r="H19" i="3" s="1"/>
  <c r="I19" i="3" s="1"/>
  <c r="J19" i="3" s="1"/>
  <c r="F22" i="3"/>
  <c r="G22" i="3" s="1"/>
  <c r="H22" i="3" s="1"/>
  <c r="I22" i="3" s="1"/>
  <c r="J22" i="3" s="1"/>
  <c r="F25" i="3"/>
  <c r="G25" i="3" s="1"/>
  <c r="H25" i="3" s="1"/>
  <c r="I25" i="3" s="1"/>
  <c r="J25" i="3" s="1"/>
  <c r="F26" i="3"/>
  <c r="G26" i="3" s="1"/>
  <c r="H26" i="3" s="1"/>
  <c r="I26" i="3" s="1"/>
  <c r="J26" i="3" s="1"/>
  <c r="F20" i="3"/>
  <c r="G20" i="3" s="1"/>
  <c r="H20" i="3" s="1"/>
  <c r="I20" i="3" s="1"/>
  <c r="J20" i="3" s="1"/>
  <c r="F114" i="3"/>
  <c r="G114" i="3" s="1"/>
  <c r="H114" i="3" s="1"/>
  <c r="I114" i="3" s="1"/>
  <c r="J114" i="3" s="1"/>
  <c r="F113" i="3"/>
  <c r="G113" i="3" s="1"/>
  <c r="H113" i="3" s="1"/>
  <c r="I113" i="3" s="1"/>
  <c r="J113" i="3" s="1"/>
  <c r="F109" i="3"/>
  <c r="G109" i="3" s="1"/>
  <c r="H109" i="3" s="1"/>
  <c r="I109" i="3" s="1"/>
  <c r="J109" i="3" s="1"/>
  <c r="F111" i="3"/>
  <c r="F107" i="3"/>
  <c r="G107" i="3" s="1"/>
  <c r="H107" i="3" s="1"/>
  <c r="I107" i="3" s="1"/>
  <c r="J107" i="3" s="1"/>
  <c r="F108" i="3"/>
  <c r="G108" i="3" s="1"/>
  <c r="H108" i="3" s="1"/>
  <c r="I108" i="3" s="1"/>
  <c r="J108" i="3" s="1"/>
  <c r="F110" i="3"/>
  <c r="G110" i="3" s="1"/>
  <c r="H110" i="3" s="1"/>
  <c r="I110" i="3" s="1"/>
  <c r="J110" i="3" s="1"/>
  <c r="F92" i="3"/>
  <c r="G92" i="3" s="1"/>
  <c r="H92" i="3" s="1"/>
  <c r="I92" i="3" s="1"/>
  <c r="J92" i="3" s="1"/>
  <c r="F91" i="3"/>
  <c r="G91" i="3" s="1"/>
  <c r="H91" i="3" s="1"/>
  <c r="I91" i="3" s="1"/>
  <c r="J91" i="3" s="1"/>
  <c r="F87" i="3"/>
  <c r="H87" i="3" s="1"/>
  <c r="I87" i="3" s="1"/>
  <c r="J87" i="3" s="1"/>
  <c r="F89" i="3"/>
  <c r="G89" i="3" s="1"/>
  <c r="H89" i="3" s="1"/>
  <c r="I89" i="3" s="1"/>
  <c r="J89" i="3" s="1"/>
  <c r="F90" i="3"/>
  <c r="G90" i="3" s="1"/>
  <c r="H90" i="3" s="1"/>
  <c r="I90" i="3" s="1"/>
  <c r="J90" i="3" s="1"/>
  <c r="F93" i="3"/>
  <c r="G93" i="3" s="1"/>
  <c r="H93" i="3" s="1"/>
  <c r="I93" i="3" s="1"/>
  <c r="J93" i="3" s="1"/>
  <c r="F84" i="3"/>
  <c r="G84" i="3" s="1"/>
  <c r="H84" i="3" s="1"/>
  <c r="I84" i="3" s="1"/>
  <c r="J84" i="3" s="1"/>
  <c r="F83" i="3"/>
  <c r="G83" i="3" s="1"/>
  <c r="H83" i="3" s="1"/>
  <c r="I83" i="3" s="1"/>
  <c r="J83" i="3" s="1"/>
  <c r="F82" i="3"/>
  <c r="G82" i="3" s="1"/>
  <c r="H82" i="3" s="1"/>
  <c r="I82" i="3" s="1"/>
  <c r="J82" i="3" s="1"/>
  <c r="F29" i="3"/>
  <c r="G29" i="3" s="1"/>
  <c r="H29" i="3" s="1"/>
  <c r="I29" i="3" s="1"/>
  <c r="J29" i="3" s="1"/>
  <c r="F32" i="3"/>
  <c r="G32" i="3" s="1"/>
  <c r="H32" i="3" s="1"/>
  <c r="I32" i="3" s="1"/>
  <c r="J32" i="3" s="1"/>
  <c r="F28" i="3"/>
  <c r="G28" i="3" s="1"/>
  <c r="H28" i="3" s="1"/>
  <c r="I28" i="3" s="1"/>
  <c r="J28" i="3" s="1"/>
  <c r="F31" i="3"/>
  <c r="G31" i="3" s="1"/>
  <c r="H31" i="3" s="1"/>
  <c r="I31" i="3" s="1"/>
  <c r="J31" i="3" s="1"/>
  <c r="F30" i="3"/>
  <c r="G30" i="3" s="1"/>
  <c r="H30" i="3" s="1"/>
  <c r="I30" i="3" s="1"/>
  <c r="J30" i="3" s="1"/>
  <c r="G27" i="3"/>
  <c r="F40" i="3"/>
  <c r="G40" i="3" s="1"/>
  <c r="H40" i="3" s="1"/>
  <c r="I40" i="3" s="1"/>
  <c r="J40" i="3" s="1"/>
  <c r="F43" i="3"/>
  <c r="G43" i="3" s="1"/>
  <c r="H43" i="3" s="1"/>
  <c r="I43" i="3" s="1"/>
  <c r="J43" i="3" s="1"/>
  <c r="F44" i="3"/>
  <c r="G44" i="3" s="1"/>
  <c r="H44" i="3" s="1"/>
  <c r="I44" i="3" s="1"/>
  <c r="J44" i="3" s="1"/>
  <c r="F38" i="3"/>
  <c r="G38" i="3" s="1"/>
  <c r="H38" i="3" s="1"/>
  <c r="I38" i="3" s="1"/>
  <c r="J38" i="3" s="1"/>
  <c r="F42" i="3"/>
  <c r="G42" i="3" s="1"/>
  <c r="H42" i="3" s="1"/>
  <c r="I42" i="3" s="1"/>
  <c r="J42" i="3" s="1"/>
  <c r="F37" i="3"/>
  <c r="G37" i="3" s="1"/>
  <c r="H37" i="3" s="1"/>
  <c r="I37" i="3" s="1"/>
  <c r="J37" i="3" s="1"/>
  <c r="F36" i="3"/>
  <c r="G36" i="3" s="1"/>
  <c r="H36" i="3" s="1"/>
  <c r="I36" i="3" s="1"/>
  <c r="J36" i="3" s="1"/>
  <c r="F41" i="3"/>
  <c r="G41" i="3" s="1"/>
  <c r="H41" i="3" s="1"/>
  <c r="I41" i="3" s="1"/>
  <c r="J41" i="3" s="1"/>
  <c r="F34" i="3"/>
  <c r="G34" i="3" s="1"/>
  <c r="H34" i="3" s="1"/>
  <c r="I34" i="3" s="1"/>
  <c r="J34" i="3" s="1"/>
  <c r="F35" i="3"/>
  <c r="G35" i="3" s="1"/>
  <c r="H35" i="3" s="1"/>
  <c r="I35" i="3" s="1"/>
  <c r="J35" i="3" s="1"/>
  <c r="G33" i="3"/>
  <c r="G88" i="3"/>
  <c r="G39" i="3"/>
  <c r="G47" i="3"/>
  <c r="H47" i="3" s="1"/>
  <c r="I47" i="3" s="1"/>
  <c r="J47" i="3" s="1"/>
  <c r="F46" i="3"/>
  <c r="G46" i="3" s="1"/>
  <c r="H46" i="3" s="1"/>
  <c r="I46" i="3" s="1"/>
  <c r="J46" i="3" s="1"/>
  <c r="F95" i="3"/>
  <c r="G95" i="3" s="1"/>
  <c r="H95" i="3" s="1"/>
  <c r="I95" i="3" s="1"/>
  <c r="J95" i="3" s="1"/>
  <c r="F98" i="3"/>
  <c r="G98" i="3" s="1"/>
  <c r="H98" i="3" s="1"/>
  <c r="I98" i="3" s="1"/>
  <c r="J98" i="3" s="1"/>
  <c r="F96" i="3"/>
  <c r="G96" i="3" s="1"/>
  <c r="H96" i="3" s="1"/>
  <c r="I96" i="3" s="1"/>
  <c r="J96" i="3" s="1"/>
  <c r="F99" i="3"/>
  <c r="G99" i="3" s="1"/>
  <c r="H99" i="3" s="1"/>
  <c r="I99" i="3" s="1"/>
  <c r="J99" i="3" s="1"/>
  <c r="F105" i="3"/>
  <c r="G105" i="3" s="1"/>
  <c r="H105" i="3" s="1"/>
  <c r="I105" i="3" s="1"/>
  <c r="J105" i="3" s="1"/>
  <c r="F97" i="3"/>
  <c r="G97" i="3" s="1"/>
  <c r="H97" i="3" s="1"/>
  <c r="I97" i="3" s="1"/>
  <c r="J97" i="3" s="1"/>
  <c r="F101" i="3"/>
  <c r="G101" i="3" s="1"/>
  <c r="H101" i="3" s="1"/>
  <c r="I101" i="3" s="1"/>
  <c r="J101" i="3" s="1"/>
  <c r="F104" i="3"/>
  <c r="G104" i="3" s="1"/>
  <c r="H104" i="3" s="1"/>
  <c r="I104" i="3" s="1"/>
  <c r="J104" i="3" s="1"/>
  <c r="F77" i="3"/>
  <c r="F76" i="3"/>
  <c r="G76" i="3" s="1"/>
  <c r="H76" i="3" s="1"/>
  <c r="I76" i="3" s="1"/>
  <c r="J76" i="3" s="1"/>
  <c r="F74" i="3"/>
  <c r="G74" i="3" s="1"/>
  <c r="H74" i="3" s="1"/>
  <c r="I74" i="3" s="1"/>
  <c r="J74" i="3" s="1"/>
  <c r="F71" i="3"/>
  <c r="G71" i="3" s="1"/>
  <c r="H71" i="3" s="1"/>
  <c r="I71" i="3" s="1"/>
  <c r="J71" i="3" s="1"/>
  <c r="F70" i="3"/>
  <c r="G70" i="3" s="1"/>
  <c r="H70" i="3" s="1"/>
  <c r="I70" i="3" s="1"/>
  <c r="J70" i="3" s="1"/>
  <c r="F78" i="3"/>
  <c r="G78" i="3" s="1"/>
  <c r="H78" i="3" s="1"/>
  <c r="I78" i="3" s="1"/>
  <c r="J78" i="3" s="1"/>
  <c r="F73" i="3"/>
  <c r="G73" i="3" s="1"/>
  <c r="H73" i="3" s="1"/>
  <c r="I73" i="3" s="1"/>
  <c r="J73" i="3" s="1"/>
  <c r="F72" i="3"/>
  <c r="G72" i="3" s="1"/>
  <c r="H72" i="3" s="1"/>
  <c r="I72" i="3" s="1"/>
  <c r="J72" i="3" s="1"/>
  <c r="F79" i="3"/>
  <c r="G79" i="3" s="1"/>
  <c r="H79" i="3" s="1"/>
  <c r="I79" i="3" s="1"/>
  <c r="J79" i="3" s="1"/>
  <c r="F121" i="3"/>
  <c r="G121" i="3" s="1"/>
  <c r="F117" i="3"/>
  <c r="G117" i="3" s="1"/>
  <c r="H117" i="3" s="1"/>
  <c r="I117" i="3" s="1"/>
  <c r="J117" i="3" s="1"/>
  <c r="F120" i="3"/>
  <c r="G120" i="3" s="1"/>
  <c r="H120" i="3" s="1"/>
  <c r="I120" i="3" s="1"/>
  <c r="J120" i="3" s="1"/>
  <c r="F116" i="3"/>
  <c r="G116" i="3" s="1"/>
  <c r="H116" i="3" s="1"/>
  <c r="I116" i="3" s="1"/>
  <c r="J116" i="3" s="1"/>
  <c r="F119" i="3"/>
  <c r="G119" i="3" s="1"/>
  <c r="H119" i="3" s="1"/>
  <c r="I119" i="3" s="1"/>
  <c r="J119" i="3" s="1"/>
  <c r="F115" i="3"/>
  <c r="G115" i="3" s="1"/>
  <c r="H115" i="3" s="1"/>
  <c r="I115" i="3" s="1"/>
  <c r="J115" i="3" s="1"/>
  <c r="G75" i="3"/>
  <c r="F65" i="3"/>
  <c r="G65" i="3" s="1"/>
  <c r="H65" i="3" s="1"/>
  <c r="I65" i="3" s="1"/>
  <c r="J65" i="3" s="1"/>
  <c r="F66" i="3"/>
  <c r="G66" i="3" s="1"/>
  <c r="H66" i="3" s="1"/>
  <c r="I66" i="3" s="1"/>
  <c r="J66" i="3" s="1"/>
  <c r="F64" i="3"/>
  <c r="G64" i="3" s="1"/>
  <c r="H64" i="3" s="1"/>
  <c r="I64" i="3" s="1"/>
  <c r="J64" i="3" s="1"/>
  <c r="G67" i="3"/>
  <c r="H67" i="3" s="1"/>
  <c r="I67" i="3" s="1"/>
  <c r="J67" i="3" s="1"/>
  <c r="G21" i="3"/>
</calcChain>
</file>

<file path=xl/sharedStrings.xml><?xml version="1.0" encoding="utf-8"?>
<sst xmlns="http://schemas.openxmlformats.org/spreadsheetml/2006/main" count="323" uniqueCount="98">
  <si>
    <t>STD-1</t>
  </si>
  <si>
    <t>STD-2</t>
  </si>
  <si>
    <t>R²</t>
  </si>
  <si>
    <t>STD-5</t>
  </si>
  <si>
    <t>STD-10</t>
  </si>
  <si>
    <t>STD-20</t>
  </si>
  <si>
    <t>步骤</t>
  </si>
  <si>
    <t>操作</t>
  </si>
  <si>
    <t>MQ/mL</t>
  </si>
  <si>
    <t>1 M HCl/mL</t>
  </si>
  <si>
    <t>说明</t>
  </si>
  <si>
    <t>样品编号范围</t>
  </si>
  <si>
    <t>编号范围</t>
  </si>
  <si>
    <t>矿物</t>
  </si>
  <si>
    <t>背景</t>
  </si>
  <si>
    <t>时间点数</t>
  </si>
  <si>
    <t>D001–D014</t>
  </si>
  <si>
    <t>D015–D028</t>
  </si>
  <si>
    <t>ASW</t>
  </si>
  <si>
    <t>D029–D042</t>
  </si>
  <si>
    <t>D043–D056</t>
  </si>
  <si>
    <t>D057–D070</t>
  </si>
  <si>
    <t>D071–D084</t>
  </si>
  <si>
    <t>D085–D098</t>
  </si>
  <si>
    <t>D099–D112</t>
  </si>
  <si>
    <t>AFS 测定与质量控制</t>
  </si>
  <si>
    <t>项目</t>
  </si>
  <si>
    <t>设置</t>
  </si>
  <si>
    <t>样品</t>
  </si>
  <si>
    <t>δ-MnO₂-0.01 M NaNO₃</t>
  </si>
  <si>
    <t>QC10</t>
  </si>
  <si>
    <t>10 ppb 检查标准</t>
  </si>
  <si>
    <t>5 ppb 检查标准</t>
  </si>
  <si>
    <t>1 ppb 检查标准</t>
  </si>
  <si>
    <t>δ-MnO₂-ASW</t>
  </si>
  <si>
    <t>2 ppb 检查标准</t>
  </si>
  <si>
    <t>钙锰矿-0.01 M NaNO₃</t>
  </si>
  <si>
    <t>钙锰矿-ASW</t>
  </si>
  <si>
    <t>1ppb</t>
  </si>
  <si>
    <t>酸性水钠锰矿-0.01 M NaNO₃</t>
  </si>
  <si>
    <t>碱性水钠锰矿-0.01 M NaNO₃</t>
  </si>
  <si>
    <t>原液</t>
  </si>
  <si>
    <t>1000ppm到50ppm到10ppb 其中1000ppm和50ppm都有实验中使用</t>
  </si>
  <si>
    <t>未取样</t>
    <phoneticPr fontId="2" type="noConversion"/>
  </si>
  <si>
    <t>异常，可能是未还原或未加原液</t>
    <phoneticPr fontId="2" type="noConversion"/>
  </si>
  <si>
    <t>存疑</t>
    <phoneticPr fontId="2" type="noConversion"/>
  </si>
  <si>
    <r>
      <t>Sb(V) 动力学滤液：约</t>
    </r>
    <r>
      <rPr>
        <sz val="11"/>
        <rFont val="Carlito"/>
        <family val="2"/>
      </rPr>
      <t xml:space="preserve"> 600 </t>
    </r>
    <r>
      <rPr>
        <sz val="11"/>
        <rFont val="Carlito"/>
      </rPr>
      <t>倍稀释、第二步还原及</t>
    </r>
    <r>
      <rPr>
        <sz val="11"/>
        <rFont val="Carlito"/>
        <family val="2"/>
      </rPr>
      <t xml:space="preserve"> HG-AFS </t>
    </r>
    <r>
      <rPr>
        <sz val="11"/>
        <rFont val="Carlito"/>
      </rPr>
      <t>记录</t>
    </r>
  </si>
  <si>
    <r>
      <t>样品</t>
    </r>
    <r>
      <rPr>
        <sz val="11"/>
        <rFont val="Carlito"/>
        <family val="2"/>
      </rPr>
      <t>/mL</t>
    </r>
  </si>
  <si>
    <r>
      <t>10% KI/抗坏血酸</t>
    </r>
    <r>
      <rPr>
        <sz val="11"/>
        <rFont val="Carlito"/>
        <family val="2"/>
      </rPr>
      <t>/mL</t>
    </r>
  </si>
  <si>
    <r>
      <t>终体积</t>
    </r>
    <r>
      <rPr>
        <sz val="11"/>
        <rFont val="Carlito"/>
        <family val="2"/>
      </rPr>
      <t>/mL</t>
    </r>
  </si>
  <si>
    <r>
      <t xml:space="preserve">1. </t>
    </r>
    <r>
      <rPr>
        <sz val="11"/>
        <rFont val="等线"/>
        <family val="3"/>
        <charset val="134"/>
      </rPr>
      <t>十倍稀释</t>
    </r>
  </si>
  <si>
    <r>
      <rPr>
        <sz val="11"/>
        <rFont val="等线"/>
        <family val="3"/>
        <charset val="134"/>
      </rPr>
      <t>原始滤液先稀释</t>
    </r>
    <r>
      <rPr>
        <sz val="11"/>
        <rFont val="Carlito"/>
        <family val="2"/>
      </rPr>
      <t xml:space="preserve"> 10 </t>
    </r>
    <r>
      <rPr>
        <sz val="11"/>
        <rFont val="等线"/>
        <family val="3"/>
        <charset val="134"/>
      </rPr>
      <t>倍，不还原</t>
    </r>
  </si>
  <si>
    <r>
      <rPr>
        <sz val="11"/>
        <rFont val="等线"/>
        <family val="3"/>
        <charset val="134"/>
      </rPr>
      <t>混匀后作为十倍液</t>
    </r>
  </si>
  <si>
    <r>
      <t xml:space="preserve">2. </t>
    </r>
    <r>
      <rPr>
        <sz val="11"/>
        <rFont val="等线"/>
        <family val="3"/>
        <charset val="134"/>
      </rPr>
      <t>约六十倍稀释并还原</t>
    </r>
  </si>
  <si>
    <r>
      <rPr>
        <sz val="11"/>
        <rFont val="等线"/>
        <family val="3"/>
        <charset val="134"/>
      </rPr>
      <t>取十倍液进行第二步处理</t>
    </r>
  </si>
  <si>
    <r>
      <rPr>
        <sz val="11"/>
        <rFont val="等线"/>
        <family val="3"/>
        <charset val="134"/>
      </rPr>
      <t>使用</t>
    </r>
    <r>
      <rPr>
        <sz val="11"/>
        <rFont val="Carlito"/>
        <family val="2"/>
      </rPr>
      <t xml:space="preserve"> 1 M HCl</t>
    </r>
    <r>
      <rPr>
        <sz val="11"/>
        <rFont val="等线"/>
        <family val="3"/>
        <charset val="134"/>
      </rPr>
      <t>；第二步实际稀释</t>
    </r>
    <r>
      <rPr>
        <sz val="11"/>
        <rFont val="Carlito"/>
        <family val="2"/>
      </rPr>
      <t xml:space="preserve"> 59.8889 </t>
    </r>
    <r>
      <rPr>
        <sz val="11"/>
        <rFont val="等线"/>
        <family val="3"/>
        <charset val="134"/>
      </rPr>
      <t>倍</t>
    </r>
  </si>
  <si>
    <r>
      <t xml:space="preserve">3. </t>
    </r>
    <r>
      <rPr>
        <sz val="11"/>
        <rFont val="等线"/>
        <family val="3"/>
        <charset val="134"/>
      </rPr>
      <t>还原</t>
    </r>
  </si>
  <si>
    <r>
      <rPr>
        <sz val="11"/>
        <rFont val="等线"/>
        <family val="3"/>
        <charset val="134"/>
      </rPr>
      <t>第二步配液后完成还原</t>
    </r>
  </si>
  <si>
    <r>
      <rPr>
        <sz val="11"/>
        <rFont val="等线"/>
        <family val="3"/>
        <charset val="134"/>
      </rPr>
      <t>常温隔夜不少于</t>
    </r>
    <r>
      <rPr>
        <sz val="11"/>
        <rFont val="Carlito"/>
        <family val="2"/>
      </rPr>
      <t xml:space="preserve"> 6–8 h</t>
    </r>
    <r>
      <rPr>
        <sz val="11"/>
        <rFont val="等线"/>
        <family val="3"/>
        <charset val="134"/>
      </rPr>
      <t>，或</t>
    </r>
    <r>
      <rPr>
        <sz val="11"/>
        <rFont val="Carlito"/>
        <family val="2"/>
      </rPr>
      <t xml:space="preserve"> 70 </t>
    </r>
    <r>
      <rPr>
        <sz val="11"/>
        <rFont val="等线"/>
        <family val="3"/>
        <charset val="134"/>
      </rPr>
      <t>℃</t>
    </r>
    <r>
      <rPr>
        <sz val="11"/>
        <rFont val="Carlito"/>
        <family val="2"/>
      </rPr>
      <t xml:space="preserve"> </t>
    </r>
    <r>
      <rPr>
        <sz val="11"/>
        <rFont val="等线"/>
        <family val="3"/>
        <charset val="134"/>
      </rPr>
      <t>加热</t>
    </r>
    <r>
      <rPr>
        <sz val="11"/>
        <rFont val="Carlito"/>
        <family val="2"/>
      </rPr>
      <t xml:space="preserve"> 1 h</t>
    </r>
  </si>
  <si>
    <r>
      <t xml:space="preserve">4. </t>
    </r>
    <r>
      <rPr>
        <sz val="11"/>
        <rFont val="等线"/>
        <family val="3"/>
        <charset val="134"/>
      </rPr>
      <t>上机</t>
    </r>
  </si>
  <si>
    <r>
      <rPr>
        <sz val="11"/>
        <rFont val="等线"/>
        <family val="3"/>
        <charset val="134"/>
      </rPr>
      <t>还原后直接测定，不再稀释</t>
    </r>
  </si>
  <si>
    <r>
      <rPr>
        <sz val="11"/>
        <rFont val="等线"/>
        <family val="3"/>
        <charset val="134"/>
      </rPr>
      <t>名义总稀释约</t>
    </r>
    <r>
      <rPr>
        <sz val="11"/>
        <rFont val="Carlito"/>
        <family val="2"/>
      </rPr>
      <t xml:space="preserve"> 600 </t>
    </r>
    <r>
      <rPr>
        <sz val="11"/>
        <rFont val="等线"/>
        <family val="3"/>
        <charset val="134"/>
      </rPr>
      <t>倍；实际总稀释</t>
    </r>
    <r>
      <rPr>
        <sz val="11"/>
        <rFont val="Carlito"/>
        <family val="2"/>
      </rPr>
      <t xml:space="preserve"> 598.8889 </t>
    </r>
    <r>
      <rPr>
        <sz val="11"/>
        <rFont val="等线"/>
        <family val="3"/>
        <charset val="134"/>
      </rPr>
      <t>倍</t>
    </r>
  </si>
  <si>
    <r>
      <t>反应时间</t>
    </r>
    <r>
      <rPr>
        <sz val="11"/>
        <rFont val="Carlito"/>
        <family val="2"/>
      </rPr>
      <t>/h</t>
    </r>
  </si>
  <si>
    <r>
      <rPr>
        <sz val="11"/>
        <rFont val="等线"/>
        <family val="3"/>
        <charset val="134"/>
      </rPr>
      <t>六方纤铁矿</t>
    </r>
  </si>
  <si>
    <r>
      <t>0.01 M NaNO</t>
    </r>
    <r>
      <rPr>
        <sz val="11"/>
        <rFont val="等线"/>
        <family val="3"/>
        <charset val="134"/>
      </rPr>
      <t>₃</t>
    </r>
  </si>
  <si>
    <r>
      <t>0.083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0.16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0.5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1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2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5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12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24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48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96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120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168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216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264</t>
    </r>
  </si>
  <si>
    <r>
      <t>δ-MnO</t>
    </r>
    <r>
      <rPr>
        <sz val="11"/>
        <rFont val="等线"/>
        <family val="3"/>
        <charset val="134"/>
      </rPr>
      <t>₂</t>
    </r>
  </si>
  <si>
    <r>
      <rPr>
        <sz val="11"/>
        <rFont val="等线"/>
        <family val="3"/>
        <charset val="134"/>
      </rPr>
      <t>钙锰矿</t>
    </r>
  </si>
  <si>
    <r>
      <rPr>
        <sz val="11"/>
        <rFont val="等线"/>
        <family val="3"/>
        <charset val="134"/>
      </rPr>
      <t>酸性水钠锰矿</t>
    </r>
  </si>
  <si>
    <r>
      <rPr>
        <sz val="11"/>
        <rFont val="等线"/>
        <family val="3"/>
        <charset val="134"/>
      </rPr>
      <t>碱性水钠锰矿</t>
    </r>
  </si>
  <si>
    <r>
      <rPr>
        <sz val="11"/>
        <rFont val="等线"/>
        <family val="3"/>
        <charset val="134"/>
      </rPr>
      <t>标线</t>
    </r>
  </si>
  <si>
    <r>
      <rPr>
        <sz val="11"/>
        <rFont val="等线"/>
        <family val="3"/>
        <charset val="134"/>
      </rPr>
      <t>空白、</t>
    </r>
    <r>
      <rPr>
        <sz val="11"/>
        <rFont val="Carlito"/>
        <family val="2"/>
      </rPr>
      <t>1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2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5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10</t>
    </r>
    <r>
      <rPr>
        <sz val="11"/>
        <rFont val="等线"/>
        <family val="3"/>
        <charset val="134"/>
      </rPr>
      <t>、</t>
    </r>
    <r>
      <rPr>
        <sz val="11"/>
        <rFont val="Carlito"/>
        <family val="2"/>
      </rPr>
      <t>20 ppb</t>
    </r>
    <r>
      <rPr>
        <sz val="11"/>
        <rFont val="等线"/>
        <family val="3"/>
        <charset val="134"/>
      </rPr>
      <t>；输入荧光值后自动计算斜率、截距和</t>
    </r>
    <r>
      <rPr>
        <sz val="11"/>
        <rFont val="Carlito"/>
        <family val="2"/>
      </rPr>
      <t xml:space="preserve"> R²</t>
    </r>
    <r>
      <rPr>
        <sz val="11"/>
        <rFont val="等线"/>
        <family val="3"/>
        <charset val="134"/>
      </rPr>
      <t>。</t>
    </r>
  </si>
  <si>
    <r>
      <rPr>
        <sz val="11"/>
        <rFont val="等线"/>
        <family val="3"/>
        <charset val="134"/>
      </rPr>
      <t>校正</t>
    </r>
  </si>
  <si>
    <r>
      <rPr>
        <sz val="11"/>
        <rFont val="等线"/>
        <family val="3"/>
        <charset val="134"/>
      </rPr>
      <t>每</t>
    </r>
    <r>
      <rPr>
        <sz val="11"/>
        <rFont val="Carlito"/>
        <family val="2"/>
      </rPr>
      <t xml:space="preserve"> 5 </t>
    </r>
    <r>
      <rPr>
        <sz val="11"/>
        <rFont val="等线"/>
        <family val="3"/>
        <charset val="134"/>
      </rPr>
      <t>个样品插入一个</t>
    </r>
    <r>
      <rPr>
        <sz val="11"/>
        <rFont val="Carlito"/>
        <family val="2"/>
      </rPr>
      <t xml:space="preserve"> 10 ppb </t>
    </r>
    <r>
      <rPr>
        <sz val="11"/>
        <rFont val="等线"/>
        <family val="3"/>
        <charset val="134"/>
      </rPr>
      <t>检查标准；标准、</t>
    </r>
    <r>
      <rPr>
        <sz val="11"/>
        <rFont val="Carlito"/>
        <family val="2"/>
      </rPr>
      <t xml:space="preserve">QC </t>
    </r>
    <r>
      <rPr>
        <sz val="11"/>
        <rFont val="等线"/>
        <family val="3"/>
        <charset val="134"/>
      </rPr>
      <t>和样品的酸介质及还原剂应保持一致。</t>
    </r>
  </si>
  <si>
    <r>
      <rPr>
        <sz val="11"/>
        <rFont val="等线"/>
        <family val="3"/>
        <charset val="134"/>
      </rPr>
      <t>结果</t>
    </r>
  </si>
  <si>
    <r>
      <rPr>
        <sz val="11"/>
        <rFont val="等线"/>
        <family val="3"/>
        <charset val="134"/>
      </rPr>
      <t>自动计算：标线浓度、</t>
    </r>
    <r>
      <rPr>
        <sz val="11"/>
        <rFont val="Carlito"/>
        <family val="2"/>
      </rPr>
      <t xml:space="preserve">QC </t>
    </r>
    <r>
      <rPr>
        <sz val="11"/>
        <rFont val="等线"/>
        <family val="3"/>
        <charset val="134"/>
      </rPr>
      <t>校正后终液浓度、按实际总稀释倍数折算原样浓度和吸附率。</t>
    </r>
  </si>
  <si>
    <r>
      <t>Sb(V) Mn</t>
    </r>
    <r>
      <rPr>
        <sz val="11"/>
        <rFont val="等线"/>
        <family val="3"/>
        <charset val="134"/>
      </rPr>
      <t>矿动力学数据汇总</t>
    </r>
  </si>
  <si>
    <r>
      <rPr>
        <sz val="11"/>
        <rFont val="等线"/>
        <family val="3"/>
        <charset val="134"/>
      </rPr>
      <t>日期</t>
    </r>
    <r>
      <rPr>
        <sz val="11"/>
        <rFont val="Carlito"/>
        <family val="2"/>
      </rPr>
      <t>20260718</t>
    </r>
  </si>
  <si>
    <r>
      <rPr>
        <sz val="11"/>
        <rFont val="等线"/>
        <family val="3"/>
        <charset val="134"/>
      </rPr>
      <t>标准编号</t>
    </r>
  </si>
  <si>
    <r>
      <rPr>
        <sz val="11"/>
        <rFont val="等线"/>
        <family val="3"/>
        <charset val="134"/>
      </rPr>
      <t>标准浓度</t>
    </r>
    <r>
      <rPr>
        <sz val="11"/>
        <rFont val="Carlito"/>
        <family val="2"/>
      </rPr>
      <t>/ppb</t>
    </r>
  </si>
  <si>
    <r>
      <rPr>
        <sz val="11"/>
        <rFont val="等线"/>
        <family val="3"/>
        <charset val="134"/>
      </rPr>
      <t>实测荧光值</t>
    </r>
  </si>
  <si>
    <r>
      <rPr>
        <sz val="11"/>
        <rFont val="等线"/>
        <family val="3"/>
        <charset val="134"/>
      </rPr>
      <t>标线参数</t>
    </r>
  </si>
  <si>
    <r>
      <rPr>
        <sz val="11"/>
        <rFont val="等线"/>
        <family val="3"/>
        <charset val="134"/>
      </rPr>
      <t>空白</t>
    </r>
  </si>
  <si>
    <r>
      <rPr>
        <sz val="11"/>
        <rFont val="等线"/>
        <family val="3"/>
        <charset val="134"/>
      </rPr>
      <t>斜率</t>
    </r>
  </si>
  <si>
    <r>
      <rPr>
        <sz val="11"/>
        <rFont val="等线"/>
        <family val="3"/>
        <charset val="134"/>
      </rPr>
      <t>截距</t>
    </r>
  </si>
  <si>
    <r>
      <rPr>
        <sz val="11"/>
        <rFont val="等线"/>
        <family val="3"/>
        <charset val="134"/>
      </rPr>
      <t>初始</t>
    </r>
    <r>
      <rPr>
        <sz val="11"/>
        <rFont val="Carlito"/>
        <family val="2"/>
      </rPr>
      <t xml:space="preserve"> Sb/ppm</t>
    </r>
  </si>
  <si>
    <r>
      <rPr>
        <sz val="11"/>
        <rFont val="等线"/>
        <family val="3"/>
        <charset val="134"/>
      </rPr>
      <t>总稀释倍数</t>
    </r>
  </si>
  <si>
    <r>
      <rPr>
        <sz val="11"/>
        <rFont val="等线"/>
        <family val="3"/>
        <charset val="134"/>
      </rPr>
      <t>日期</t>
    </r>
    <r>
      <rPr>
        <sz val="11"/>
        <rFont val="Carlito"/>
        <family val="2"/>
      </rPr>
      <t>20260728</t>
    </r>
  </si>
  <si>
    <r>
      <rPr>
        <sz val="11"/>
        <rFont val="等线"/>
        <family val="3"/>
        <charset val="134"/>
      </rPr>
      <t>类型</t>
    </r>
  </si>
  <si>
    <r>
      <rPr>
        <sz val="11"/>
        <rFont val="等线"/>
        <family val="3"/>
        <charset val="134"/>
      </rPr>
      <t>样品名称</t>
    </r>
  </si>
  <si>
    <r>
      <rPr>
        <sz val="11"/>
        <rFont val="等线"/>
        <family val="3"/>
        <charset val="134"/>
      </rPr>
      <t>反应时间</t>
    </r>
    <r>
      <rPr>
        <sz val="11"/>
        <rFont val="Carlito"/>
        <family val="2"/>
      </rPr>
      <t>/h</t>
    </r>
  </si>
  <si>
    <r>
      <rPr>
        <sz val="11"/>
        <rFont val="等线"/>
        <family val="3"/>
        <charset val="134"/>
      </rPr>
      <t>标线计算</t>
    </r>
    <r>
      <rPr>
        <sz val="11"/>
        <rFont val="Carlito"/>
        <family val="2"/>
      </rPr>
      <t>/ppb</t>
    </r>
  </si>
  <si>
    <r>
      <rPr>
        <sz val="11"/>
        <rFont val="等线"/>
        <family val="3"/>
        <charset val="134"/>
      </rPr>
      <t>校正因子</t>
    </r>
  </si>
  <si>
    <r>
      <rPr>
        <sz val="11"/>
        <rFont val="等线"/>
        <family val="3"/>
        <charset val="134"/>
      </rPr>
      <t>校正终液</t>
    </r>
    <r>
      <rPr>
        <sz val="11"/>
        <rFont val="Carlito"/>
        <family val="2"/>
      </rPr>
      <t>/ppb</t>
    </r>
  </si>
  <si>
    <r>
      <rPr>
        <sz val="11"/>
        <rFont val="等线"/>
        <family val="3"/>
        <charset val="134"/>
      </rPr>
      <t>折算原样</t>
    </r>
    <r>
      <rPr>
        <sz val="11"/>
        <rFont val="Carlito"/>
        <family val="2"/>
      </rPr>
      <t>/ppm</t>
    </r>
  </si>
  <si>
    <r>
      <rPr>
        <sz val="11"/>
        <rFont val="等线"/>
        <family val="3"/>
        <charset val="134"/>
      </rPr>
      <t>剩余率</t>
    </r>
    <r>
      <rPr>
        <sz val="11"/>
        <rFont val="Carlito"/>
        <family val="2"/>
      </rPr>
      <t>/%</t>
    </r>
  </si>
  <si>
    <r>
      <rPr>
        <sz val="11"/>
        <rFont val="等线"/>
        <family val="3"/>
        <charset val="134"/>
      </rPr>
      <t>吸附率</t>
    </r>
    <r>
      <rPr>
        <sz val="11"/>
        <rFont val="Carlito"/>
        <family val="2"/>
      </rPr>
      <t>/%</t>
    </r>
  </si>
  <si>
    <r>
      <rPr>
        <sz val="11"/>
        <rFont val="等线"/>
        <family val="3"/>
        <charset val="134"/>
      </rPr>
      <t>备注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</si>
</sst>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1"/>
      <color theme="1"/>
      <name val="等线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Carlito"/>
      <family val="2"/>
    </font>
    <font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176" fontId="1" fillId="0" borderId="0" xfId="1" applyNumberFormat="1"/>
    <xf numFmtId="176" fontId="0" fillId="0" borderId="0" xfId="0" applyNumberFormat="1"/>
    <xf numFmtId="176" fontId="1" fillId="3" borderId="0" xfId="1" applyNumberFormat="1" applyFill="1"/>
    <xf numFmtId="176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 wrapText="1"/>
    </xf>
    <xf numFmtId="176" fontId="0" fillId="2" borderId="1" xfId="0" applyNumberFormat="1" applyFill="1" applyBorder="1" applyAlignment="1">
      <alignment vertical="center"/>
    </xf>
    <xf numFmtId="176" fontId="0" fillId="2" borderId="1" xfId="0" applyNumberFormat="1" applyFill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176" fontId="0" fillId="3" borderId="1" xfId="0" applyNumberFormat="1" applyFill="1" applyBorder="1" applyAlignment="1">
      <alignment vertical="center"/>
    </xf>
    <xf numFmtId="176" fontId="0" fillId="3" borderId="1" xfId="0" applyNumberFormat="1" applyFill="1" applyBorder="1" applyAlignment="1">
      <alignment vertical="center" wrapText="1"/>
    </xf>
    <xf numFmtId="176" fontId="0" fillId="3" borderId="0" xfId="0" applyNumberFormat="1" applyFill="1"/>
    <xf numFmtId="176" fontId="4" fillId="0" borderId="1" xfId="0" applyNumberFormat="1" applyFont="1" applyBorder="1" applyAlignment="1">
      <alignment vertical="center"/>
    </xf>
    <xf numFmtId="176" fontId="1" fillId="0" borderId="0" xfId="1" applyNumberFormat="1"/>
    <xf numFmtId="0" fontId="1" fillId="0" borderId="0" xfId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AFS数据!$J$19:$J$35</c:f>
              <c:numCache>
                <c:formatCode>0.00_ </c:formatCode>
                <c:ptCount val="17"/>
                <c:pt idx="0">
                  <c:v>20.278706559645556</c:v>
                </c:pt>
                <c:pt idx="1">
                  <c:v>27.500431351070105</c:v>
                </c:pt>
                <c:pt idx="3">
                  <c:v>25.248400114074059</c:v>
                </c:pt>
                <c:pt idx="4">
                  <c:v>34.088281770908267</c:v>
                </c:pt>
                <c:pt idx="5">
                  <c:v>36.236049559867688</c:v>
                </c:pt>
                <c:pt idx="6">
                  <c:v>44.284773064128366</c:v>
                </c:pt>
                <c:pt idx="7">
                  <c:v>46.301915340064603</c:v>
                </c:pt>
                <c:pt idx="9">
                  <c:v>64.321343461417456</c:v>
                </c:pt>
                <c:pt idx="10">
                  <c:v>65.593948186296799</c:v>
                </c:pt>
                <c:pt idx="11">
                  <c:v>70.481403799622569</c:v>
                </c:pt>
                <c:pt idx="12">
                  <c:v>74.28371191146833</c:v>
                </c:pt>
                <c:pt idx="13">
                  <c:v>78.364021577661092</c:v>
                </c:pt>
                <c:pt idx="15">
                  <c:v>95.030459416322572</c:v>
                </c:pt>
                <c:pt idx="16">
                  <c:v>96.02728392424828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E5-412D-910F-DC2301A6B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39519"/>
        <c:axId val="313032319"/>
      </c:scatterChart>
      <c:valAx>
        <c:axId val="31303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32319"/>
        <c:crosses val="autoZero"/>
        <c:crossBetween val="midCat"/>
      </c:valAx>
      <c:valAx>
        <c:axId val="31303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3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AFS数据!$J$36:$J$52</c:f>
              <c:numCache>
                <c:formatCode>0.00_ </c:formatCode>
                <c:ptCount val="17"/>
                <c:pt idx="0">
                  <c:v>28.185882921523003</c:v>
                </c:pt>
                <c:pt idx="1">
                  <c:v>28.78033211605424</c:v>
                </c:pt>
                <c:pt idx="2">
                  <c:v>27.151771857352387</c:v>
                </c:pt>
                <c:pt idx="4">
                  <c:v>34.817367121567557</c:v>
                </c:pt>
                <c:pt idx="5">
                  <c:v>45.14695104759047</c:v>
                </c:pt>
                <c:pt idx="6">
                  <c:v>47.082780612939182</c:v>
                </c:pt>
                <c:pt idx="7">
                  <c:v>54.727298454190368</c:v>
                </c:pt>
                <c:pt idx="8">
                  <c:v>62.462712681973755</c:v>
                </c:pt>
                <c:pt idx="10">
                  <c:v>71.265656868286541</c:v>
                </c:pt>
                <c:pt idx="11">
                  <c:v>70.249100001083065</c:v>
                </c:pt>
                <c:pt idx="12">
                  <c:v>71.859679198440148</c:v>
                </c:pt>
                <c:pt idx="13">
                  <c:v>73.526034026165377</c:v>
                </c:pt>
                <c:pt idx="14">
                  <c:v>74.15465890129525</c:v>
                </c:pt>
                <c:pt idx="16">
                  <c:v>76.600372885807275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2-41D6-A286-77F767961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46239"/>
        <c:axId val="313046719"/>
      </c:scatterChart>
      <c:valAx>
        <c:axId val="31304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46719"/>
        <c:crosses val="autoZero"/>
        <c:crossBetween val="midCat"/>
      </c:valAx>
      <c:valAx>
        <c:axId val="3130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4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AFS数据!$J$53:$J$68</c:f>
              <c:numCache>
                <c:formatCode>0.00_ </c:formatCode>
                <c:ptCount val="16"/>
                <c:pt idx="0">
                  <c:v>35.121458099406951</c:v>
                </c:pt>
                <c:pt idx="1">
                  <c:v>37.343871801927506</c:v>
                </c:pt>
                <c:pt idx="2">
                  <c:v>38.115416773054974</c:v>
                </c:pt>
                <c:pt idx="3">
                  <c:v>48.948178369958448</c:v>
                </c:pt>
                <c:pt idx="5">
                  <c:v>45.563013795457074</c:v>
                </c:pt>
                <c:pt idx="6">
                  <c:v>49.357887252608954</c:v>
                </c:pt>
                <c:pt idx="7">
                  <c:v>50.164969696711829</c:v>
                </c:pt>
                <c:pt idx="8">
                  <c:v>51.781484169907706</c:v>
                </c:pt>
                <c:pt idx="9">
                  <c:v>52.430263325301901</c:v>
                </c:pt>
                <c:pt idx="11">
                  <c:v>64.168747673220125</c:v>
                </c:pt>
                <c:pt idx="12">
                  <c:v>64.149264072705535</c:v>
                </c:pt>
                <c:pt idx="13">
                  <c:v>67.149447751944194</c:v>
                </c:pt>
                <c:pt idx="14">
                  <c:v>91.626439160857359</c:v>
                </c:pt>
                <c:pt idx="15">
                  <c:v>92.797974032741223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F-42ED-B018-4410CF8F9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69279"/>
        <c:axId val="313072159"/>
      </c:scatterChart>
      <c:valAx>
        <c:axId val="31306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72159"/>
        <c:crosses val="autoZero"/>
        <c:crossBetween val="midCat"/>
      </c:valAx>
      <c:valAx>
        <c:axId val="31307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6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AFS数据!$J$70:$J$85</c:f>
              <c:numCache>
                <c:formatCode>0.00_ </c:formatCode>
                <c:ptCount val="16"/>
                <c:pt idx="0">
                  <c:v>38.602004565584522</c:v>
                </c:pt>
                <c:pt idx="1">
                  <c:v>45.564519995544238</c:v>
                </c:pt>
                <c:pt idx="2">
                  <c:v>37.73075161030205</c:v>
                </c:pt>
                <c:pt idx="3">
                  <c:v>100.41201084644342</c:v>
                </c:pt>
                <c:pt idx="4">
                  <c:v>39.592187603697667</c:v>
                </c:pt>
                <c:pt idx="6">
                  <c:v>39.369043534144112</c:v>
                </c:pt>
                <c:pt idx="7">
                  <c:v>0</c:v>
                </c:pt>
                <c:pt idx="8">
                  <c:v>56.558344773575797</c:v>
                </c:pt>
                <c:pt idx="9">
                  <c:v>48.234139960902986</c:v>
                </c:pt>
                <c:pt idx="10">
                  <c:v>39.546674444154604</c:v>
                </c:pt>
                <c:pt idx="12">
                  <c:v>42.479212992875318</c:v>
                </c:pt>
                <c:pt idx="13">
                  <c:v>42.855980739616349</c:v>
                </c:pt>
                <c:pt idx="14">
                  <c:v>42.8123993957769</c:v>
                </c:pt>
                <c:pt idx="15">
                  <c:v>44.083287616127265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B-430D-983D-0B3259AB3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80799"/>
        <c:axId val="313076479"/>
      </c:scatterChart>
      <c:valAx>
        <c:axId val="31308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76479"/>
        <c:crosses val="autoZero"/>
        <c:crossBetween val="midCat"/>
      </c:valAx>
      <c:valAx>
        <c:axId val="31307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8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AFS数据!$J$87:$J$103</c:f>
              <c:numCache>
                <c:formatCode>0.00_ </c:formatCode>
                <c:ptCount val="17"/>
                <c:pt idx="0">
                  <c:v>40.332425762778257</c:v>
                </c:pt>
                <c:pt idx="2">
                  <c:v>46.9161412597362</c:v>
                </c:pt>
                <c:pt idx="3">
                  <c:v>51.76833360433637</c:v>
                </c:pt>
                <c:pt idx="4">
                  <c:v>53.220376852746838</c:v>
                </c:pt>
                <c:pt idx="5">
                  <c:v>59.433254961880607</c:v>
                </c:pt>
                <c:pt idx="6">
                  <c:v>67.690719252233677</c:v>
                </c:pt>
                <c:pt idx="8">
                  <c:v>72.720360745917731</c:v>
                </c:pt>
                <c:pt idx="9">
                  <c:v>74.583383987337129</c:v>
                </c:pt>
                <c:pt idx="10">
                  <c:v>81.651597524307277</c:v>
                </c:pt>
                <c:pt idx="11">
                  <c:v>83.586504947792321</c:v>
                </c:pt>
                <c:pt idx="12">
                  <c:v>85.131865724896684</c:v>
                </c:pt>
                <c:pt idx="14">
                  <c:v>86.10095994701831</c:v>
                </c:pt>
                <c:pt idx="15">
                  <c:v>98.956978405373761</c:v>
                </c:pt>
                <c:pt idx="16">
                  <c:v>98.355445632432051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B-4EE0-B443-C8F7C3664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61599"/>
        <c:axId val="313063039"/>
      </c:scatterChart>
      <c:valAx>
        <c:axId val="31306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63039"/>
        <c:crosses val="autoZero"/>
        <c:crossBetween val="midCat"/>
      </c:valAx>
      <c:valAx>
        <c:axId val="3130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6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AFS数据!$J$104:$J$120</c:f>
              <c:numCache>
                <c:formatCode>0.00_ </c:formatCode>
                <c:ptCount val="17"/>
                <c:pt idx="0">
                  <c:v>43.575053350974812</c:v>
                </c:pt>
                <c:pt idx="1">
                  <c:v>45.977655369808176</c:v>
                </c:pt>
                <c:pt idx="3">
                  <c:v>48.496262152935323</c:v>
                </c:pt>
                <c:pt idx="4">
                  <c:v>53.221514411087043</c:v>
                </c:pt>
                <c:pt idx="5">
                  <c:v>58.777277082237873</c:v>
                </c:pt>
                <c:pt idx="6">
                  <c:v>57.756500824336349</c:v>
                </c:pt>
                <c:pt idx="7">
                  <c:v>0</c:v>
                </c:pt>
                <c:pt idx="9">
                  <c:v>61.258343699765497</c:v>
                </c:pt>
                <c:pt idx="10">
                  <c:v>61.267539882269119</c:v>
                </c:pt>
                <c:pt idx="11">
                  <c:v>65.715666865947895</c:v>
                </c:pt>
                <c:pt idx="12">
                  <c:v>65.957429831924244</c:v>
                </c:pt>
                <c:pt idx="13">
                  <c:v>64.146022624383775</c:v>
                </c:pt>
                <c:pt idx="15">
                  <c:v>66.193021671141423</c:v>
                </c:pt>
                <c:pt idx="16">
                  <c:v>65.337776103813695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A-4D22-B19B-0FCEC7189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55839"/>
        <c:axId val="313056319"/>
      </c:scatterChart>
      <c:valAx>
        <c:axId val="31305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56319"/>
        <c:crosses val="autoZero"/>
        <c:crossBetween val="midCat"/>
      </c:valAx>
      <c:valAx>
        <c:axId val="3130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305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946727</xdr:colOff>
      <xdr:row>18</xdr:row>
      <xdr:rowOff>71582</xdr:rowOff>
    </xdr:from>
    <xdr:to>
      <xdr:col>16</xdr:col>
      <xdr:colOff>196272</xdr:colOff>
      <xdr:row>34</xdr:row>
      <xdr:rowOff>43873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45415C8-2B7D-32F6-C1EF-D52AA5BF8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1316183</xdr:colOff>
      <xdr:row>34</xdr:row>
      <xdr:rowOff>163946</xdr:rowOff>
    </xdr:from>
    <xdr:to>
      <xdr:col>16</xdr:col>
      <xdr:colOff>565728</xdr:colOff>
      <xdr:row>50</xdr:row>
      <xdr:rowOff>136237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DF65044-664D-FE4B-68A0-8DFE6DBC1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1385456</xdr:colOff>
      <xdr:row>53</xdr:row>
      <xdr:rowOff>60036</xdr:rowOff>
    </xdr:from>
    <xdr:to>
      <xdr:col>16</xdr:col>
      <xdr:colOff>635001</xdr:colOff>
      <xdr:row>69</xdr:row>
      <xdr:rowOff>32326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852C468-6C4E-BB45-7C1F-A9B39C02E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1974273</xdr:colOff>
      <xdr:row>70</xdr:row>
      <xdr:rowOff>36946</xdr:rowOff>
    </xdr:from>
    <xdr:to>
      <xdr:col>17</xdr:col>
      <xdr:colOff>565727</xdr:colOff>
      <xdr:row>86</xdr:row>
      <xdr:rowOff>9237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55C7201-F36C-A945-D625-E0E0EE3A9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1905000</xdr:colOff>
      <xdr:row>88</xdr:row>
      <xdr:rowOff>13855</xdr:rowOff>
    </xdr:from>
    <xdr:to>
      <xdr:col>17</xdr:col>
      <xdr:colOff>496454</xdr:colOff>
      <xdr:row>103</xdr:row>
      <xdr:rowOff>159328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24DF768-AAE3-E86C-FE73-ED10061E0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1962728</xdr:colOff>
      <xdr:row>106</xdr:row>
      <xdr:rowOff>129308</xdr:rowOff>
    </xdr:from>
    <xdr:to>
      <xdr:col>17</xdr:col>
      <xdr:colOff>554182</xdr:colOff>
      <xdr:row>122</xdr:row>
      <xdr:rowOff>101599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428A0EE-560A-2C59-AD2E-BC7FC5FEF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zoomScale="55" zoomScaleNormal="55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activeCell="L11" sqref="L11"/>
    </sheetView>
  </sheetViews>
  <sheetFormatPr defaultRowHeight="14"/>
  <cols>
    <col min="1" max="1" width="10" style="3" customWidth="1"/>
    <col min="2" max="2" width="31" style="3" customWidth="1"/>
    <col min="3" max="3" width="15" style="3" customWidth="1"/>
    <col min="4" max="4" width="14" style="3" customWidth="1"/>
    <col min="5" max="5" width="16" style="3" customWidth="1"/>
    <col min="6" max="6" width="12" style="3" customWidth="1"/>
    <col min="7" max="8" width="16" style="3" customWidth="1"/>
    <col min="9" max="10" width="12" style="3" customWidth="1"/>
    <col min="11" max="11" width="26.6640625" style="3" customWidth="1"/>
    <col min="12" max="16384" width="8.6640625" style="3"/>
  </cols>
  <sheetData>
    <row r="1" spans="1:11" ht="18.649999999999999" customHeight="1">
      <c r="A1" s="14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2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78</v>
      </c>
      <c r="B3" s="2" t="s">
        <v>79</v>
      </c>
      <c r="C3" s="2" t="s">
        <v>80</v>
      </c>
      <c r="D3" s="2"/>
      <c r="E3" s="2" t="s">
        <v>81</v>
      </c>
      <c r="F3" s="2" t="s">
        <v>74</v>
      </c>
      <c r="G3" s="2"/>
      <c r="H3" s="2"/>
      <c r="I3" s="2"/>
      <c r="J3" s="2"/>
      <c r="K3" s="2"/>
    </row>
    <row r="4" spans="1:11">
      <c r="A4" s="2" t="s">
        <v>82</v>
      </c>
      <c r="B4" s="2">
        <v>0</v>
      </c>
      <c r="C4" s="2">
        <v>290.05</v>
      </c>
      <c r="D4" s="2"/>
      <c r="E4" s="2" t="s">
        <v>83</v>
      </c>
      <c r="F4" s="2">
        <f>SLOPE(C5:C9,B5:B9)</f>
        <v>304.99622719734668</v>
      </c>
      <c r="G4" s="2"/>
      <c r="H4" s="2"/>
      <c r="I4" s="2"/>
      <c r="J4" s="2"/>
      <c r="K4" s="2"/>
    </row>
    <row r="5" spans="1:11">
      <c r="A5" s="2" t="s">
        <v>0</v>
      </c>
      <c r="B5" s="2">
        <v>1</v>
      </c>
      <c r="C5" s="2">
        <v>307.43</v>
      </c>
      <c r="D5" s="2"/>
      <c r="E5" s="2" t="s">
        <v>84</v>
      </c>
      <c r="F5" s="2">
        <f>INTERCEPT(C5:C9,B5:B9)</f>
        <v>33.988673300165374</v>
      </c>
      <c r="G5" s="2"/>
      <c r="H5" s="2"/>
      <c r="I5" s="2"/>
      <c r="J5" s="2"/>
      <c r="K5" s="2"/>
    </row>
    <row r="6" spans="1:11">
      <c r="A6" s="2" t="s">
        <v>1</v>
      </c>
      <c r="B6" s="2">
        <v>2</v>
      </c>
      <c r="C6" s="2">
        <v>637.47</v>
      </c>
      <c r="D6" s="2"/>
      <c r="E6" s="2" t="s">
        <v>2</v>
      </c>
      <c r="F6" s="2">
        <f>RSQ(C5:C9,B5:B9)</f>
        <v>0.99981547144431826</v>
      </c>
      <c r="G6" s="2"/>
      <c r="H6" s="2"/>
      <c r="I6" s="2"/>
      <c r="J6" s="2"/>
      <c r="K6" s="2"/>
    </row>
    <row r="7" spans="1:11">
      <c r="A7" s="2" t="s">
        <v>3</v>
      </c>
      <c r="B7" s="2">
        <v>5</v>
      </c>
      <c r="C7" s="2">
        <v>1613.4</v>
      </c>
      <c r="D7" s="2"/>
      <c r="E7" s="2" t="s">
        <v>85</v>
      </c>
      <c r="F7" s="2">
        <v>6</v>
      </c>
      <c r="G7" s="2"/>
      <c r="H7" s="2"/>
      <c r="I7" s="2"/>
      <c r="J7" s="2"/>
      <c r="K7" s="2"/>
    </row>
    <row r="8" spans="1:11">
      <c r="A8" s="2" t="s">
        <v>4</v>
      </c>
      <c r="B8" s="2">
        <v>10</v>
      </c>
      <c r="C8" s="2">
        <v>3073.98</v>
      </c>
      <c r="D8" s="2"/>
      <c r="E8" s="2" t="s">
        <v>86</v>
      </c>
      <c r="F8" s="2">
        <v>598.88888889999998</v>
      </c>
      <c r="G8" s="2"/>
      <c r="H8" s="2"/>
      <c r="I8" s="2"/>
      <c r="J8" s="2"/>
      <c r="K8" s="2"/>
    </row>
    <row r="9" spans="1:11">
      <c r="A9" s="2" t="s">
        <v>5</v>
      </c>
      <c r="B9" s="2">
        <v>20</v>
      </c>
      <c r="C9" s="2">
        <v>6127.52</v>
      </c>
      <c r="D9" s="2"/>
      <c r="E9" s="2"/>
      <c r="F9" s="2"/>
      <c r="G9" s="2"/>
      <c r="H9" s="2"/>
      <c r="I9" s="2"/>
      <c r="J9" s="2"/>
      <c r="K9" s="2"/>
    </row>
    <row r="10" spans="1:11">
      <c r="A10" s="4" t="s">
        <v>87</v>
      </c>
      <c r="B10" s="4"/>
      <c r="C10" s="4"/>
      <c r="D10" s="4"/>
      <c r="E10" s="4"/>
      <c r="F10" s="4"/>
      <c r="G10" s="2"/>
      <c r="H10" s="2"/>
      <c r="I10" s="2"/>
      <c r="J10" s="2"/>
      <c r="K10" s="2"/>
    </row>
    <row r="11" spans="1:11">
      <c r="A11" s="4" t="s">
        <v>78</v>
      </c>
      <c r="B11" s="4" t="s">
        <v>79</v>
      </c>
      <c r="C11" s="4" t="s">
        <v>80</v>
      </c>
      <c r="D11" s="4"/>
      <c r="E11" s="4" t="s">
        <v>81</v>
      </c>
      <c r="F11" s="4" t="s">
        <v>74</v>
      </c>
      <c r="G11" s="2"/>
      <c r="H11" s="2"/>
      <c r="I11" s="2"/>
      <c r="J11" s="2"/>
      <c r="K11" s="2"/>
    </row>
    <row r="12" spans="1:11">
      <c r="A12" s="4" t="s">
        <v>82</v>
      </c>
      <c r="B12" s="4">
        <v>0</v>
      </c>
      <c r="C12" s="4">
        <v>285.66000000000003</v>
      </c>
      <c r="D12" s="4"/>
      <c r="E12" s="4" t="s">
        <v>83</v>
      </c>
      <c r="F12" s="4">
        <f>SLOPE(C13:C17,B13:B17)</f>
        <v>305.86139303482588</v>
      </c>
      <c r="G12" s="2"/>
      <c r="H12" s="2"/>
      <c r="I12" s="2"/>
      <c r="J12" s="2"/>
      <c r="K12" s="2"/>
    </row>
    <row r="13" spans="1:11">
      <c r="A13" s="4" t="s">
        <v>0</v>
      </c>
      <c r="B13" s="4">
        <v>1</v>
      </c>
      <c r="C13" s="4">
        <v>337.24</v>
      </c>
      <c r="D13" s="4"/>
      <c r="E13" s="4" t="s">
        <v>84</v>
      </c>
      <c r="F13" s="4">
        <f>INTERCEPT(C13:C17,B13:B17)</f>
        <v>102.78741293532312</v>
      </c>
      <c r="G13" s="2"/>
      <c r="H13" s="2"/>
      <c r="I13" s="2"/>
      <c r="J13" s="2"/>
      <c r="K13" s="2"/>
    </row>
    <row r="14" spans="1:11">
      <c r="A14" s="4" t="s">
        <v>1</v>
      </c>
      <c r="B14" s="4">
        <v>2</v>
      </c>
      <c r="C14" s="4">
        <v>694.76</v>
      </c>
      <c r="D14" s="4"/>
      <c r="E14" s="4" t="s">
        <v>2</v>
      </c>
      <c r="F14" s="4">
        <f>RSQ(C13:C17,B13:B17)</f>
        <v>0.99928932233937151</v>
      </c>
      <c r="G14" s="2"/>
      <c r="H14" s="2"/>
      <c r="I14" s="2"/>
      <c r="J14" s="2"/>
      <c r="K14" s="2"/>
    </row>
    <row r="15" spans="1:11">
      <c r="A15" s="4" t="s">
        <v>3</v>
      </c>
      <c r="B15" s="4">
        <v>5</v>
      </c>
      <c r="C15" s="4">
        <v>1718.6</v>
      </c>
      <c r="D15" s="4"/>
      <c r="E15" s="4" t="s">
        <v>85</v>
      </c>
      <c r="F15" s="4">
        <v>6</v>
      </c>
      <c r="G15" s="2"/>
      <c r="H15" s="2"/>
      <c r="I15" s="2"/>
      <c r="J15" s="2"/>
      <c r="K15" s="2"/>
    </row>
    <row r="16" spans="1:11">
      <c r="A16" s="4" t="s">
        <v>4</v>
      </c>
      <c r="B16" s="4">
        <v>10</v>
      </c>
      <c r="C16" s="4">
        <v>3202.87</v>
      </c>
      <c r="D16" s="4"/>
      <c r="E16" s="4" t="s">
        <v>86</v>
      </c>
      <c r="F16" s="4">
        <v>598.88888889999998</v>
      </c>
      <c r="G16" s="2"/>
      <c r="H16" s="2"/>
      <c r="I16" s="2"/>
      <c r="J16" s="2"/>
      <c r="K16" s="2"/>
    </row>
    <row r="17" spans="1:11">
      <c r="A17" s="2" t="s">
        <v>5</v>
      </c>
      <c r="B17" s="2">
        <v>20</v>
      </c>
      <c r="C17" s="2">
        <v>6183.2</v>
      </c>
      <c r="D17" s="2"/>
      <c r="E17" s="2"/>
      <c r="F17" s="2"/>
      <c r="G17" s="2"/>
      <c r="H17" s="2"/>
      <c r="I17" s="2"/>
      <c r="J17" s="2"/>
      <c r="K17" s="2"/>
    </row>
    <row r="18" spans="1:11" ht="17.399999999999999" customHeight="1">
      <c r="A18" s="2" t="s">
        <v>88</v>
      </c>
      <c r="B18" s="2" t="s">
        <v>89</v>
      </c>
      <c r="C18" s="2" t="s">
        <v>90</v>
      </c>
      <c r="D18" s="2" t="s">
        <v>80</v>
      </c>
      <c r="E18" s="2" t="s">
        <v>91</v>
      </c>
      <c r="F18" s="2" t="s">
        <v>92</v>
      </c>
      <c r="G18" s="2" t="s">
        <v>93</v>
      </c>
      <c r="H18" s="2" t="s">
        <v>94</v>
      </c>
      <c r="I18" s="2" t="s">
        <v>95</v>
      </c>
      <c r="J18" s="2" t="s">
        <v>96</v>
      </c>
      <c r="K18" s="2" t="s">
        <v>97</v>
      </c>
    </row>
    <row r="19" spans="1:11">
      <c r="A19" s="5" t="s">
        <v>28</v>
      </c>
      <c r="B19" s="6" t="s">
        <v>29</v>
      </c>
      <c r="C19" s="5">
        <v>8.3000000000000004E-2</v>
      </c>
      <c r="D19" s="5">
        <v>2725.43</v>
      </c>
      <c r="E19" s="5">
        <f t="shared" ref="E19:E46" si="0">(D19-$F$5)/$F$4</f>
        <v>8.8245069502395754</v>
      </c>
      <c r="F19" s="5">
        <f>F21</f>
        <v>0.90508398728672845</v>
      </c>
      <c r="G19" s="5">
        <f t="shared" ref="G19:G50" si="1">E19*F19</f>
        <v>7.9869199363622831</v>
      </c>
      <c r="H19" s="5">
        <f>G19*$F$8/1000</f>
        <v>4.783277606421267</v>
      </c>
      <c r="I19" s="5">
        <f>H19/$F$7*100</f>
        <v>79.721293440354444</v>
      </c>
      <c r="J19" s="5">
        <f>100-I19</f>
        <v>20.278706559645556</v>
      </c>
      <c r="K19" s="6"/>
    </row>
    <row r="20" spans="1:11">
      <c r="A20" s="5" t="s">
        <v>28</v>
      </c>
      <c r="B20" s="6" t="s">
        <v>29</v>
      </c>
      <c r="C20" s="5">
        <v>0.16</v>
      </c>
      <c r="D20" s="5">
        <v>2481.62</v>
      </c>
      <c r="E20" s="5">
        <f t="shared" si="0"/>
        <v>8.0251200127669247</v>
      </c>
      <c r="F20" s="5">
        <f>F21</f>
        <v>0.90508398728672845</v>
      </c>
      <c r="G20" s="5">
        <f t="shared" si="1"/>
        <v>7.2634076196096089</v>
      </c>
      <c r="H20" s="5">
        <f>G20*$F$8/1000</f>
        <v>4.3499741189357932</v>
      </c>
      <c r="I20" s="5">
        <f>H20/$F$7*100</f>
        <v>72.499568648929895</v>
      </c>
      <c r="J20" s="5">
        <f>100-I20</f>
        <v>27.500431351070105</v>
      </c>
      <c r="K20" s="6"/>
    </row>
    <row r="21" spans="1:11">
      <c r="A21" s="5" t="s">
        <v>30</v>
      </c>
      <c r="B21" s="6" t="s">
        <v>31</v>
      </c>
      <c r="C21" s="5"/>
      <c r="D21" s="5">
        <v>3403.8</v>
      </c>
      <c r="E21" s="5">
        <f t="shared" si="0"/>
        <v>11.048698397568737</v>
      </c>
      <c r="F21" s="5">
        <f>10/E21</f>
        <v>0.90508398728672845</v>
      </c>
      <c r="G21" s="5">
        <f t="shared" si="1"/>
        <v>10</v>
      </c>
      <c r="H21" s="5"/>
      <c r="I21" s="5"/>
      <c r="J21" s="5"/>
      <c r="K21" s="6"/>
    </row>
    <row r="22" spans="1:11">
      <c r="A22" s="5" t="s">
        <v>28</v>
      </c>
      <c r="B22" s="6" t="s">
        <v>29</v>
      </c>
      <c r="C22" s="5">
        <v>0.5</v>
      </c>
      <c r="D22" s="5">
        <v>2557.65</v>
      </c>
      <c r="E22" s="5">
        <f t="shared" si="0"/>
        <v>8.2744017848683384</v>
      </c>
      <c r="F22" s="5">
        <f>F21</f>
        <v>0.90508398728672845</v>
      </c>
      <c r="G22" s="5">
        <f t="shared" si="1"/>
        <v>7.4890285598610582</v>
      </c>
      <c r="H22" s="5">
        <f>G22*$F$8/1000</f>
        <v>4.4850959931555563</v>
      </c>
      <c r="I22" s="5">
        <f>H22/$F$7*100</f>
        <v>74.751599885925941</v>
      </c>
      <c r="J22" s="5">
        <f>100-I22</f>
        <v>25.248400114074059</v>
      </c>
      <c r="K22" s="6"/>
    </row>
    <row r="23" spans="1:11">
      <c r="A23" s="5" t="s">
        <v>28</v>
      </c>
      <c r="B23" s="6" t="s">
        <v>29</v>
      </c>
      <c r="C23" s="5">
        <v>1</v>
      </c>
      <c r="D23" s="5">
        <v>2259.21</v>
      </c>
      <c r="E23" s="5">
        <f t="shared" si="0"/>
        <v>7.2958978776482155</v>
      </c>
      <c r="F23" s="5">
        <f>F21</f>
        <v>0.90508398728672845</v>
      </c>
      <c r="G23" s="5">
        <f t="shared" si="1"/>
        <v>6.6034003419386265</v>
      </c>
      <c r="H23" s="5">
        <f>G23*$F$8/1000</f>
        <v>3.9547030937455037</v>
      </c>
      <c r="I23" s="5">
        <f>H23/$F$7*100</f>
        <v>65.911718229091733</v>
      </c>
      <c r="J23" s="5">
        <f>100-I23</f>
        <v>34.088281770908267</v>
      </c>
      <c r="K23" s="6"/>
    </row>
    <row r="24" spans="1:11">
      <c r="A24" s="5" t="s">
        <v>28</v>
      </c>
      <c r="B24" s="6" t="s">
        <v>29</v>
      </c>
      <c r="C24" s="5">
        <v>2</v>
      </c>
      <c r="D24" s="5">
        <v>2186.6999999999998</v>
      </c>
      <c r="E24" s="5">
        <f t="shared" si="0"/>
        <v>7.0581572319152999</v>
      </c>
      <c r="F24" s="5">
        <f>F21</f>
        <v>0.90508398728672845</v>
      </c>
      <c r="G24" s="5">
        <f t="shared" si="1"/>
        <v>6.3882250903585573</v>
      </c>
      <c r="H24" s="5">
        <f>G24*$F$8/1000</f>
        <v>3.8258370264079384</v>
      </c>
      <c r="I24" s="5">
        <f>H24/$F$7*100</f>
        <v>63.763950440132312</v>
      </c>
      <c r="J24" s="5">
        <f>100-I24</f>
        <v>36.236049559867688</v>
      </c>
      <c r="K24" s="6"/>
    </row>
    <row r="25" spans="1:11">
      <c r="A25" s="5" t="s">
        <v>28</v>
      </c>
      <c r="B25" s="6" t="s">
        <v>29</v>
      </c>
      <c r="C25" s="5">
        <v>5</v>
      </c>
      <c r="D25" s="5">
        <v>1914.97</v>
      </c>
      <c r="E25" s="5">
        <f t="shared" si="0"/>
        <v>6.1672281784743275</v>
      </c>
      <c r="F25" s="5">
        <f>F21</f>
        <v>0.90508398728672845</v>
      </c>
      <c r="G25" s="5">
        <f t="shared" si="1"/>
        <v>5.5818594702806115</v>
      </c>
      <c r="H25" s="5">
        <f>G25*$F$8/1000</f>
        <v>3.3429136161522979</v>
      </c>
      <c r="I25" s="5">
        <f>H25/$F$7*100</f>
        <v>55.715226935871634</v>
      </c>
      <c r="J25" s="5">
        <f>100-I25</f>
        <v>44.284773064128366</v>
      </c>
      <c r="K25" s="6"/>
    </row>
    <row r="26" spans="1:11">
      <c r="A26" s="5" t="s">
        <v>28</v>
      </c>
      <c r="B26" s="6" t="s">
        <v>29</v>
      </c>
      <c r="C26" s="5">
        <v>12</v>
      </c>
      <c r="D26" s="5">
        <v>1846.87</v>
      </c>
      <c r="E26" s="5">
        <f t="shared" si="0"/>
        <v>5.9439467279928557</v>
      </c>
      <c r="F26" s="5">
        <f>F21</f>
        <v>0.90508398728672845</v>
      </c>
      <c r="G26" s="5">
        <f t="shared" si="1"/>
        <v>5.3797710047916771</v>
      </c>
      <c r="H26" s="5">
        <f>G26*$F$8/1000</f>
        <v>3.2218850795961238</v>
      </c>
      <c r="I26" s="5">
        <f>H26/$F$7*100</f>
        <v>53.698084659935397</v>
      </c>
      <c r="J26" s="5">
        <f>100-I26</f>
        <v>46.301915340064603</v>
      </c>
      <c r="K26" s="6"/>
    </row>
    <row r="27" spans="1:11">
      <c r="A27" s="5" t="s">
        <v>30</v>
      </c>
      <c r="B27" s="6" t="s">
        <v>32</v>
      </c>
      <c r="C27" s="5"/>
      <c r="D27" s="5">
        <v>1836.39</v>
      </c>
      <c r="E27" s="5">
        <f t="shared" si="0"/>
        <v>5.9095856472139161</v>
      </c>
      <c r="F27" s="5">
        <f>5/E27</f>
        <v>0.84608300792751145</v>
      </c>
      <c r="G27" s="5">
        <f t="shared" si="1"/>
        <v>5</v>
      </c>
      <c r="H27" s="5"/>
      <c r="I27" s="5"/>
      <c r="J27" s="5"/>
      <c r="K27" s="6"/>
    </row>
    <row r="28" spans="1:11">
      <c r="A28" s="5" t="s">
        <v>28</v>
      </c>
      <c r="B28" s="6" t="s">
        <v>29</v>
      </c>
      <c r="C28" s="5">
        <v>24</v>
      </c>
      <c r="D28" s="5">
        <v>1322.52</v>
      </c>
      <c r="E28" s="5">
        <f t="shared" si="0"/>
        <v>4.2247451338671649</v>
      </c>
      <c r="F28" s="5">
        <f>F27</f>
        <v>0.84608300792751145</v>
      </c>
      <c r="G28" s="5">
        <f t="shared" si="1"/>
        <v>3.5744850705894478</v>
      </c>
      <c r="H28" s="5">
        <f>G28*$F$8/1000</f>
        <v>2.1407193923149523</v>
      </c>
      <c r="I28" s="5">
        <f>H28/$F$7*100</f>
        <v>35.678656538582537</v>
      </c>
      <c r="J28" s="5">
        <f>100-I28</f>
        <v>64.321343461417456</v>
      </c>
      <c r="K28" s="6"/>
    </row>
    <row r="29" spans="1:11">
      <c r="A29" s="5" t="s">
        <v>28</v>
      </c>
      <c r="B29" s="6" t="s">
        <v>29</v>
      </c>
      <c r="C29" s="5">
        <v>48</v>
      </c>
      <c r="D29" s="5">
        <v>1276.56</v>
      </c>
      <c r="E29" s="5">
        <f t="shared" si="0"/>
        <v>4.0740547452602858</v>
      </c>
      <c r="F29" s="5">
        <f>F27</f>
        <v>0.84608300792751145</v>
      </c>
      <c r="G29" s="5">
        <f t="shared" si="1"/>
        <v>3.4469884933311739</v>
      </c>
      <c r="H29" s="5">
        <f>G29*$F$8/1000</f>
        <v>2.0643631088221919</v>
      </c>
      <c r="I29" s="5">
        <f>H29/$F$7*100</f>
        <v>34.406051813703201</v>
      </c>
      <c r="J29" s="5">
        <f>100-I29</f>
        <v>65.593948186296799</v>
      </c>
      <c r="K29" s="6"/>
    </row>
    <row r="30" spans="1:11">
      <c r="A30" s="5" t="s">
        <v>28</v>
      </c>
      <c r="B30" s="6" t="s">
        <v>29</v>
      </c>
      <c r="C30" s="5">
        <v>96</v>
      </c>
      <c r="D30" s="5">
        <v>1100.05</v>
      </c>
      <c r="E30" s="5">
        <f t="shared" si="0"/>
        <v>3.4953262750035381</v>
      </c>
      <c r="F30" s="5">
        <f>F27</f>
        <v>0.84608300792751145</v>
      </c>
      <c r="G30" s="5">
        <f t="shared" si="1"/>
        <v>2.9573361684430575</v>
      </c>
      <c r="H30" s="5">
        <f>G30*$F$8/1000</f>
        <v>1.7711157720226458</v>
      </c>
      <c r="I30" s="5">
        <f>H30/$F$7*100</f>
        <v>29.518596200377427</v>
      </c>
      <c r="J30" s="5">
        <f>100-I30</f>
        <v>70.481403799622569</v>
      </c>
      <c r="K30" s="6"/>
    </row>
    <row r="31" spans="1:11">
      <c r="A31" s="5" t="s">
        <v>28</v>
      </c>
      <c r="B31" s="6" t="s">
        <v>29</v>
      </c>
      <c r="C31" s="5">
        <v>120</v>
      </c>
      <c r="D31" s="5">
        <v>962.73</v>
      </c>
      <c r="E31" s="5">
        <f t="shared" si="0"/>
        <v>3.0450911974688002</v>
      </c>
      <c r="F31" s="5">
        <f>F27</f>
        <v>0.84608300792751145</v>
      </c>
      <c r="G31" s="5">
        <f t="shared" si="1"/>
        <v>2.5763999197679901</v>
      </c>
      <c r="H31" s="5">
        <f>G31*$F$8/1000</f>
        <v>1.5429772853119006</v>
      </c>
      <c r="I31" s="5">
        <f>H31/$F$7*100</f>
        <v>25.716288088531673</v>
      </c>
      <c r="J31" s="5">
        <f>100-I31</f>
        <v>74.28371191146833</v>
      </c>
      <c r="K31" s="6"/>
    </row>
    <row r="32" spans="1:11">
      <c r="A32" s="5" t="s">
        <v>28</v>
      </c>
      <c r="B32" s="6" t="s">
        <v>29</v>
      </c>
      <c r="C32" s="5">
        <v>168</v>
      </c>
      <c r="D32" s="5">
        <v>815.37</v>
      </c>
      <c r="E32" s="5">
        <f t="shared" si="0"/>
        <v>2.5619376799511842</v>
      </c>
      <c r="F32" s="5">
        <f>F27</f>
        <v>0.84608300792751145</v>
      </c>
      <c r="G32" s="5">
        <f t="shared" si="1"/>
        <v>2.167611938375928</v>
      </c>
      <c r="H32" s="5">
        <f>G32*$F$8/1000</f>
        <v>1.2981587053403347</v>
      </c>
      <c r="I32" s="5">
        <f>H32/$F$7*100</f>
        <v>21.635978422338912</v>
      </c>
      <c r="J32" s="5">
        <f>100-I32</f>
        <v>78.364021577661092</v>
      </c>
      <c r="K32" s="6"/>
    </row>
    <row r="33" spans="1:11">
      <c r="A33" s="7" t="s">
        <v>30</v>
      </c>
      <c r="B33" s="8" t="s">
        <v>33</v>
      </c>
      <c r="C33" s="7"/>
      <c r="D33" s="7">
        <v>361.13</v>
      </c>
      <c r="E33" s="7">
        <f>(D33-$F$13)/$F$12</f>
        <v>0.84463941166730239</v>
      </c>
      <c r="F33" s="7">
        <f>1/E33</f>
        <v>1.1839371762513646</v>
      </c>
      <c r="G33" s="7">
        <f t="shared" si="1"/>
        <v>0.99999999999999989</v>
      </c>
      <c r="H33" s="7"/>
      <c r="I33" s="7"/>
      <c r="J33" s="7"/>
      <c r="K33" s="8"/>
    </row>
    <row r="34" spans="1:11">
      <c r="A34" s="7" t="s">
        <v>28</v>
      </c>
      <c r="B34" s="8" t="s">
        <v>29</v>
      </c>
      <c r="C34" s="7">
        <v>216</v>
      </c>
      <c r="D34" s="7">
        <v>231.41</v>
      </c>
      <c r="E34" s="7">
        <f t="shared" ref="E34:E35" si="2">(D34-$F$13)/$F$12</f>
        <v>0.42052573483843286</v>
      </c>
      <c r="F34" s="7">
        <f>F33</f>
        <v>1.1839371762513646</v>
      </c>
      <c r="G34" s="7">
        <f t="shared" si="1"/>
        <v>0.49787605104564431</v>
      </c>
      <c r="H34" s="7">
        <f>G34*$F$8/1000</f>
        <v>0.29817243502064561</v>
      </c>
      <c r="I34" s="7">
        <f>H34/$F$7*100</f>
        <v>4.9695405836774267</v>
      </c>
      <c r="J34" s="7">
        <f>100-I34</f>
        <v>95.030459416322572</v>
      </c>
      <c r="K34" s="8"/>
    </row>
    <row r="35" spans="1:11">
      <c r="A35" s="7" t="s">
        <v>28</v>
      </c>
      <c r="B35" s="8" t="s">
        <v>29</v>
      </c>
      <c r="C35" s="7">
        <v>288</v>
      </c>
      <c r="D35" s="7">
        <v>205.61</v>
      </c>
      <c r="E35" s="7">
        <f t="shared" si="2"/>
        <v>0.33617380096405086</v>
      </c>
      <c r="F35" s="7">
        <f>F33</f>
        <v>1.1839371762513646</v>
      </c>
      <c r="G35" s="7">
        <f t="shared" si="1"/>
        <v>0.39800866064306667</v>
      </c>
      <c r="H35" s="7">
        <f>G35*$F$8/1000</f>
        <v>0.23836296454510336</v>
      </c>
      <c r="I35" s="7">
        <f>H35/$F$7*100</f>
        <v>3.9727160757517228</v>
      </c>
      <c r="J35" s="7">
        <f>100-I35</f>
        <v>96.02728392424828</v>
      </c>
      <c r="K35" s="8"/>
    </row>
    <row r="36" spans="1:11">
      <c r="A36" s="5" t="s">
        <v>28</v>
      </c>
      <c r="B36" s="6" t="s">
        <v>34</v>
      </c>
      <c r="C36" s="5">
        <v>8.3000000000000004E-2</v>
      </c>
      <c r="D36" s="5">
        <v>2214.5700000000002</v>
      </c>
      <c r="E36" s="5">
        <f t="shared" si="0"/>
        <v>7.1495354114295244</v>
      </c>
      <c r="F36" s="5">
        <f>F39</f>
        <v>1.0063220723525603</v>
      </c>
      <c r="G36" s="5">
        <f t="shared" si="1"/>
        <v>7.194735291587774</v>
      </c>
      <c r="H36" s="5">
        <f>G36*$F$8/1000</f>
        <v>4.3088470247086201</v>
      </c>
      <c r="I36" s="5">
        <f>H36/$F$7*100</f>
        <v>71.814117078476997</v>
      </c>
      <c r="J36" s="5">
        <f>100-I36</f>
        <v>28.185882921523003</v>
      </c>
      <c r="K36" s="6"/>
    </row>
    <row r="37" spans="1:11">
      <c r="A37" s="5" t="s">
        <v>28</v>
      </c>
      <c r="B37" s="6" t="s">
        <v>34</v>
      </c>
      <c r="C37" s="5">
        <v>0.16</v>
      </c>
      <c r="D37" s="5">
        <v>2196.52</v>
      </c>
      <c r="E37" s="5">
        <f t="shared" si="0"/>
        <v>7.0903543515001468</v>
      </c>
      <c r="F37" s="5">
        <f>F39</f>
        <v>1.0063220723525603</v>
      </c>
      <c r="G37" s="5">
        <f t="shared" si="1"/>
        <v>7.1351800847156213</v>
      </c>
      <c r="H37" s="5">
        <f>G37*$F$8/1000</f>
        <v>4.2731800730367455</v>
      </c>
      <c r="I37" s="5">
        <f>H37/$F$7*100</f>
        <v>71.21966788394576</v>
      </c>
      <c r="J37" s="5">
        <f>100-I37</f>
        <v>28.78033211605424</v>
      </c>
      <c r="K37" s="6"/>
    </row>
    <row r="38" spans="1:11">
      <c r="A38" s="5" t="s">
        <v>28</v>
      </c>
      <c r="B38" s="6" t="s">
        <v>34</v>
      </c>
      <c r="C38" s="5">
        <v>0.5</v>
      </c>
      <c r="D38" s="5">
        <v>2245.9699999999998</v>
      </c>
      <c r="E38" s="5">
        <f t="shared" si="0"/>
        <v>7.2524875046030655</v>
      </c>
      <c r="F38" s="5">
        <f>F39</f>
        <v>1.0063220723525603</v>
      </c>
      <c r="G38" s="5">
        <f t="shared" si="1"/>
        <v>7.2983382553432055</v>
      </c>
      <c r="H38" s="5">
        <f>G38*$F$8/1000</f>
        <v>4.3708936885588567</v>
      </c>
      <c r="I38" s="5">
        <f>H38/$F$7*100</f>
        <v>72.848228142647613</v>
      </c>
      <c r="J38" s="5">
        <f>100-I38</f>
        <v>27.151771857352387</v>
      </c>
      <c r="K38" s="6"/>
    </row>
    <row r="39" spans="1:11">
      <c r="A39" s="5" t="s">
        <v>30</v>
      </c>
      <c r="B39" s="6" t="s">
        <v>31</v>
      </c>
      <c r="C39" s="5"/>
      <c r="D39" s="5">
        <v>3064.79</v>
      </c>
      <c r="E39" s="5">
        <f t="shared" si="0"/>
        <v>9.9371764514934995</v>
      </c>
      <c r="F39" s="5">
        <f>10/E39</f>
        <v>1.0063220723525603</v>
      </c>
      <c r="G39" s="5">
        <f t="shared" si="1"/>
        <v>10</v>
      </c>
      <c r="H39" s="5"/>
      <c r="I39" s="5"/>
      <c r="J39" s="5"/>
      <c r="K39" s="6"/>
    </row>
    <row r="40" spans="1:11">
      <c r="A40" s="5" t="s">
        <v>28</v>
      </c>
      <c r="B40" s="6" t="s">
        <v>34</v>
      </c>
      <c r="C40" s="5">
        <v>1</v>
      </c>
      <c r="D40" s="5">
        <v>2013.21</v>
      </c>
      <c r="E40" s="5">
        <f t="shared" si="0"/>
        <v>6.4893305234860721</v>
      </c>
      <c r="F40" s="5">
        <f>F39</f>
        <v>1.0063220723525603</v>
      </c>
      <c r="G40" s="5">
        <f t="shared" si="1"/>
        <v>6.5303565405752293</v>
      </c>
      <c r="H40" s="5">
        <f>G40*$F$8/1000</f>
        <v>3.9109579727059467</v>
      </c>
      <c r="I40" s="5">
        <f>H40/$F$7*100</f>
        <v>65.182632878432443</v>
      </c>
      <c r="J40" s="5">
        <f>100-I40</f>
        <v>34.817367121567557</v>
      </c>
      <c r="K40" s="6"/>
    </row>
    <row r="41" spans="1:11">
      <c r="A41" s="5" t="s">
        <v>28</v>
      </c>
      <c r="B41" s="6" t="s">
        <v>34</v>
      </c>
      <c r="C41" s="5">
        <v>2</v>
      </c>
      <c r="D41" s="5">
        <v>1699.56</v>
      </c>
      <c r="E41" s="5">
        <f t="shared" si="0"/>
        <v>5.4609571469293385</v>
      </c>
      <c r="F41" s="5">
        <f>F39</f>
        <v>1.0063220723525603</v>
      </c>
      <c r="G41" s="5">
        <f t="shared" si="1"/>
        <v>5.4954817131264573</v>
      </c>
      <c r="H41" s="5">
        <f>G41*$F$8/1000</f>
        <v>3.2911829371445722</v>
      </c>
      <c r="I41" s="5">
        <f>H41/$F$7*100</f>
        <v>54.85304895240953</v>
      </c>
      <c r="J41" s="5">
        <f>100-I41</f>
        <v>45.14695104759047</v>
      </c>
      <c r="K41" s="6"/>
    </row>
    <row r="42" spans="1:11">
      <c r="A42" s="5" t="s">
        <v>28</v>
      </c>
      <c r="B42" s="6" t="s">
        <v>34</v>
      </c>
      <c r="C42" s="5">
        <v>5</v>
      </c>
      <c r="D42" s="5">
        <v>1640.78</v>
      </c>
      <c r="E42" s="5">
        <f t="shared" si="0"/>
        <v>5.2682334514917333</v>
      </c>
      <c r="F42" s="5">
        <f>F39</f>
        <v>1.0063220723525603</v>
      </c>
      <c r="G42" s="5">
        <f t="shared" si="1"/>
        <v>5.3015396045422429</v>
      </c>
      <c r="H42" s="5">
        <f>G42*$F$8/1000</f>
        <v>3.1750331632236493</v>
      </c>
      <c r="I42" s="5">
        <f>H42/$F$7*100</f>
        <v>52.917219387060818</v>
      </c>
      <c r="J42" s="5">
        <f>100-I42</f>
        <v>47.082780612939182</v>
      </c>
      <c r="K42" s="6"/>
    </row>
    <row r="43" spans="1:11">
      <c r="A43" s="5" t="s">
        <v>28</v>
      </c>
      <c r="B43" s="6" t="s">
        <v>34</v>
      </c>
      <c r="C43" s="5">
        <v>12</v>
      </c>
      <c r="D43" s="5">
        <v>1408.66</v>
      </c>
      <c r="E43" s="5">
        <f t="shared" si="0"/>
        <v>4.5071748569871941</v>
      </c>
      <c r="F43" s="5">
        <f>F39</f>
        <v>1.0063220723525603</v>
      </c>
      <c r="G43" s="5">
        <f t="shared" si="1"/>
        <v>4.5356695425387077</v>
      </c>
      <c r="H43" s="5">
        <f>G43*$F$8/1000</f>
        <v>2.7163620927485779</v>
      </c>
      <c r="I43" s="5">
        <f>H43/$F$7*100</f>
        <v>45.272701545809632</v>
      </c>
      <c r="J43" s="5">
        <f>100-I43</f>
        <v>54.727298454190368</v>
      </c>
      <c r="K43" s="9" t="s">
        <v>45</v>
      </c>
    </row>
    <row r="44" spans="1:11">
      <c r="A44" s="5" t="s">
        <v>28</v>
      </c>
      <c r="B44" s="6" t="s">
        <v>34</v>
      </c>
      <c r="C44" s="5">
        <v>24</v>
      </c>
      <c r="D44" s="5">
        <v>1173.78</v>
      </c>
      <c r="E44" s="5">
        <f t="shared" si="0"/>
        <v>3.7370669702164441</v>
      </c>
      <c r="F44" s="5">
        <f>F39</f>
        <v>1.0063220723525603</v>
      </c>
      <c r="G44" s="5">
        <f t="shared" si="1"/>
        <v>3.7606929779885157</v>
      </c>
      <c r="H44" s="5">
        <f>G44*$F$8/1000</f>
        <v>2.2522372390815746</v>
      </c>
      <c r="I44" s="5">
        <f>H44/$F$7*100</f>
        <v>37.537287318026245</v>
      </c>
      <c r="J44" s="5">
        <f>100-I44</f>
        <v>62.462712681973755</v>
      </c>
      <c r="K44" s="6"/>
    </row>
    <row r="45" spans="1:11">
      <c r="A45" s="5" t="s">
        <v>30</v>
      </c>
      <c r="B45" s="6" t="s">
        <v>35</v>
      </c>
      <c r="C45" s="5"/>
      <c r="D45" s="5">
        <v>691.32</v>
      </c>
      <c r="E45" s="5">
        <f t="shared" si="0"/>
        <v>2.1552113373340545</v>
      </c>
      <c r="F45" s="5">
        <f>2/E45</f>
        <v>0.92798324013734668</v>
      </c>
      <c r="G45" s="5">
        <f t="shared" si="1"/>
        <v>2</v>
      </c>
      <c r="H45" s="5"/>
      <c r="I45" s="5"/>
      <c r="J45" s="5"/>
      <c r="K45" s="6"/>
    </row>
    <row r="46" spans="1:11">
      <c r="A46" s="5" t="s">
        <v>28</v>
      </c>
      <c r="B46" s="6" t="s">
        <v>34</v>
      </c>
      <c r="C46" s="5">
        <v>48</v>
      </c>
      <c r="D46" s="5">
        <v>980.14</v>
      </c>
      <c r="E46" s="5">
        <f t="shared" si="0"/>
        <v>3.1021738707857227</v>
      </c>
      <c r="F46" s="5">
        <f>F45</f>
        <v>0.92798324013734668</v>
      </c>
      <c r="G46" s="5">
        <f t="shared" si="1"/>
        <v>2.8787653600811494</v>
      </c>
      <c r="H46" s="5">
        <f>G46*$F$8/1000</f>
        <v>1.7240605879028079</v>
      </c>
      <c r="I46" s="5">
        <f>H46/$F$7*100</f>
        <v>28.734343131713462</v>
      </c>
      <c r="J46" s="5">
        <f>100-I46</f>
        <v>71.265656868286541</v>
      </c>
      <c r="K46" s="6"/>
    </row>
    <row r="47" spans="1:11">
      <c r="A47" s="7" t="s">
        <v>28</v>
      </c>
      <c r="B47" s="8" t="s">
        <v>34</v>
      </c>
      <c r="C47" s="7">
        <v>96</v>
      </c>
      <c r="D47" s="7">
        <v>872.83</v>
      </c>
      <c r="E47" s="7">
        <f>(D47-$F$13)/$F$12</f>
        <v>2.5176194335092124</v>
      </c>
      <c r="F47" s="7">
        <v>1.1839</v>
      </c>
      <c r="G47" s="7">
        <f t="shared" si="1"/>
        <v>2.9806096473315562</v>
      </c>
      <c r="H47" s="7">
        <f>G47*$F$8/1000</f>
        <v>1.7850539999350166</v>
      </c>
      <c r="I47" s="7">
        <f>H47/$F$7*100</f>
        <v>29.750899998916942</v>
      </c>
      <c r="J47" s="7">
        <f>100-I47</f>
        <v>70.249100001083065</v>
      </c>
      <c r="K47" s="8"/>
    </row>
    <row r="48" spans="1:11">
      <c r="A48" s="7" t="s">
        <v>28</v>
      </c>
      <c r="B48" s="8" t="s">
        <v>34</v>
      </c>
      <c r="C48" s="7">
        <v>120</v>
      </c>
      <c r="D48" s="7">
        <v>892.44</v>
      </c>
      <c r="E48" s="7">
        <f t="shared" ref="E48:E52" si="3">(D48-$F$13)/$F$12</f>
        <v>2.5817334421633453</v>
      </c>
      <c r="F48" s="7">
        <v>1.0920000000000001</v>
      </c>
      <c r="G48" s="7">
        <f t="shared" si="1"/>
        <v>2.8192529188423734</v>
      </c>
      <c r="H48" s="7">
        <f>G48*$F$8/1000</f>
        <v>1.6884192480935909</v>
      </c>
      <c r="I48" s="7">
        <f>H48/$F$7*100</f>
        <v>28.140320801559849</v>
      </c>
      <c r="J48" s="7">
        <f>100-I48</f>
        <v>71.859679198440148</v>
      </c>
      <c r="K48" s="8"/>
    </row>
    <row r="49" spans="1:11">
      <c r="A49" s="7" t="s">
        <v>28</v>
      </c>
      <c r="B49" s="8" t="s">
        <v>34</v>
      </c>
      <c r="C49" s="7">
        <v>168</v>
      </c>
      <c r="D49" s="7">
        <v>845.68</v>
      </c>
      <c r="E49" s="7">
        <f t="shared" si="3"/>
        <v>2.4288537356530311</v>
      </c>
      <c r="F49" s="7">
        <f>F48</f>
        <v>1.0920000000000001</v>
      </c>
      <c r="G49" s="7">
        <f t="shared" si="1"/>
        <v>2.6523082793331101</v>
      </c>
      <c r="H49" s="7">
        <f>G49*$F$8/1000</f>
        <v>1.588437958430077</v>
      </c>
      <c r="I49" s="7">
        <f>H49/$F$7*100</f>
        <v>26.473965973834616</v>
      </c>
      <c r="J49" s="7">
        <f>100-I49</f>
        <v>73.526034026165377</v>
      </c>
      <c r="K49" s="8"/>
    </row>
    <row r="50" spans="1:11">
      <c r="A50" s="7" t="s">
        <v>28</v>
      </c>
      <c r="B50" s="8" t="s">
        <v>34</v>
      </c>
      <c r="C50" s="7">
        <v>216</v>
      </c>
      <c r="D50" s="7">
        <v>828.04</v>
      </c>
      <c r="E50" s="7">
        <f t="shared" si="3"/>
        <v>2.3711805529575236</v>
      </c>
      <c r="F50" s="7">
        <f>F48</f>
        <v>1.0920000000000001</v>
      </c>
      <c r="G50" s="7">
        <f t="shared" si="1"/>
        <v>2.5893291638296159</v>
      </c>
      <c r="H50" s="7">
        <f>G50*$F$8/1000</f>
        <v>1.5507204659222846</v>
      </c>
      <c r="I50" s="7">
        <f>H50/$F$7*100</f>
        <v>25.845341098704743</v>
      </c>
      <c r="J50" s="7">
        <f>100-I50</f>
        <v>74.15465890129525</v>
      </c>
      <c r="K50" s="8"/>
    </row>
    <row r="51" spans="1:11">
      <c r="A51" s="7" t="s">
        <v>30</v>
      </c>
      <c r="B51" s="8" t="s">
        <v>35</v>
      </c>
      <c r="C51" s="7"/>
      <c r="D51" s="7">
        <v>662.99</v>
      </c>
      <c r="E51" s="7">
        <f t="shared" si="3"/>
        <v>1.8315570379975721</v>
      </c>
      <c r="F51" s="7">
        <f>2/E51</f>
        <v>1.0919670851127767</v>
      </c>
      <c r="G51" s="7">
        <f t="shared" ref="G51:G68" si="4">E51*F51</f>
        <v>2</v>
      </c>
      <c r="H51" s="7"/>
      <c r="I51" s="7"/>
      <c r="J51" s="7"/>
      <c r="K51" s="8"/>
    </row>
    <row r="52" spans="1:11" s="12" customFormat="1">
      <c r="A52" s="10" t="s">
        <v>28</v>
      </c>
      <c r="B52" s="11" t="s">
        <v>34</v>
      </c>
      <c r="C52" s="10">
        <v>264</v>
      </c>
      <c r="D52" s="10">
        <v>759.43</v>
      </c>
      <c r="E52" s="7">
        <f t="shared" si="3"/>
        <v>2.1468632590380912</v>
      </c>
      <c r="F52" s="10">
        <f>F51</f>
        <v>1.0919670851127767</v>
      </c>
      <c r="G52" s="10">
        <f t="shared" si="4"/>
        <v>2.3443040151075407</v>
      </c>
      <c r="H52" s="10">
        <f>G52*$F$8/1000</f>
        <v>1.4039776268515638</v>
      </c>
      <c r="I52" s="10">
        <f>H52/$F$7*100</f>
        <v>23.399627114192732</v>
      </c>
      <c r="J52" s="10">
        <f>100-I52</f>
        <v>76.600372885807275</v>
      </c>
      <c r="K52" s="11"/>
    </row>
    <row r="53" spans="1:11">
      <c r="A53" s="5" t="s">
        <v>28</v>
      </c>
      <c r="B53" s="6" t="s">
        <v>36</v>
      </c>
      <c r="C53" s="5">
        <v>8.3000000000000004E-2</v>
      </c>
      <c r="D53" s="5">
        <v>2243.0100000000002</v>
      </c>
      <c r="E53" s="5">
        <f t="shared" ref="E53:E66" si="5">(D53-$F$5)/$F$4</f>
        <v>7.242782466520465</v>
      </c>
      <c r="F53" s="5">
        <f>F57</f>
        <v>0.89743010441308668</v>
      </c>
      <c r="G53" s="5">
        <f t="shared" si="4"/>
        <v>6.4998910251707347</v>
      </c>
      <c r="H53" s="5">
        <f>G53*$F$8/1000</f>
        <v>3.8927125140355829</v>
      </c>
      <c r="I53" s="5">
        <f>H53/$F$7*100</f>
        <v>64.878541900593049</v>
      </c>
      <c r="J53" s="5">
        <f>100-I53</f>
        <v>35.121458099406951</v>
      </c>
      <c r="K53" s="6"/>
    </row>
    <row r="54" spans="1:11">
      <c r="A54" s="5" t="s">
        <v>28</v>
      </c>
      <c r="B54" s="6" t="s">
        <v>36</v>
      </c>
      <c r="C54" s="5">
        <v>0.16</v>
      </c>
      <c r="D54" s="5">
        <v>2167.34</v>
      </c>
      <c r="E54" s="5">
        <f t="shared" si="5"/>
        <v>6.994681036888557</v>
      </c>
      <c r="F54" s="5">
        <f>F57</f>
        <v>0.89743010441308668</v>
      </c>
      <c r="G54" s="5">
        <f t="shared" si="4"/>
        <v>6.2772373332711355</v>
      </c>
      <c r="H54" s="5">
        <f>G54*$F$8/1000</f>
        <v>3.7593676918843495</v>
      </c>
      <c r="I54" s="5">
        <f>H54/$F$7*100</f>
        <v>62.656128198072494</v>
      </c>
      <c r="J54" s="5">
        <f>100-I54</f>
        <v>37.343871801927506</v>
      </c>
      <c r="K54" s="6"/>
    </row>
    <row r="55" spans="1:11">
      <c r="A55" s="5" t="s">
        <v>28</v>
      </c>
      <c r="B55" s="6" t="s">
        <v>36</v>
      </c>
      <c r="C55" s="5">
        <v>0.5</v>
      </c>
      <c r="D55" s="5">
        <v>2141.0700000000002</v>
      </c>
      <c r="E55" s="5">
        <f t="shared" si="5"/>
        <v>6.9085488239054698</v>
      </c>
      <c r="F55" s="5">
        <f>F57</f>
        <v>0.89743010441308668</v>
      </c>
      <c r="G55" s="5">
        <f t="shared" si="4"/>
        <v>6.1999396923803927</v>
      </c>
      <c r="H55" s="5">
        <f>G55*$F$8/1000</f>
        <v>3.7130749936167011</v>
      </c>
      <c r="I55" s="5">
        <f>H55/$F$7*100</f>
        <v>61.884583226945026</v>
      </c>
      <c r="J55" s="5">
        <f>100-I55</f>
        <v>38.115416773054974</v>
      </c>
      <c r="K55" s="6"/>
    </row>
    <row r="56" spans="1:11">
      <c r="A56" s="5" t="s">
        <v>28</v>
      </c>
      <c r="B56" s="6" t="s">
        <v>36</v>
      </c>
      <c r="C56" s="5">
        <v>1</v>
      </c>
      <c r="D56" s="5">
        <v>1772.23</v>
      </c>
      <c r="E56" s="5">
        <f t="shared" si="5"/>
        <v>5.6992223893153673</v>
      </c>
      <c r="F56" s="5">
        <f>F57</f>
        <v>0.89743010441308668</v>
      </c>
      <c r="G56" s="5">
        <f t="shared" si="4"/>
        <v>5.1146537439166915</v>
      </c>
      <c r="H56" s="5">
        <f>G56*$F$8/1000</f>
        <v>3.0631092978024927</v>
      </c>
      <c r="I56" s="5">
        <f>H56/$F$7*100</f>
        <v>51.051821630041552</v>
      </c>
      <c r="J56" s="5">
        <f>100-I56</f>
        <v>48.948178369958448</v>
      </c>
      <c r="K56" s="6"/>
    </row>
    <row r="57" spans="1:11">
      <c r="A57" s="5" t="s">
        <v>30</v>
      </c>
      <c r="B57" s="6" t="s">
        <v>31</v>
      </c>
      <c r="C57" s="5"/>
      <c r="D57" s="5">
        <v>3432.54</v>
      </c>
      <c r="E57" s="5">
        <f t="shared" si="5"/>
        <v>11.142929071384264</v>
      </c>
      <c r="F57" s="5">
        <f>10/E57</f>
        <v>0.89743010441308668</v>
      </c>
      <c r="G57" s="5">
        <f t="shared" si="4"/>
        <v>10</v>
      </c>
      <c r="H57" s="5"/>
      <c r="I57" s="5"/>
      <c r="J57" s="5"/>
      <c r="K57" s="6"/>
    </row>
    <row r="58" spans="1:11">
      <c r="A58" s="5" t="s">
        <v>28</v>
      </c>
      <c r="B58" s="6" t="s">
        <v>36</v>
      </c>
      <c r="C58" s="5">
        <v>2</v>
      </c>
      <c r="D58" s="5">
        <v>1887.49</v>
      </c>
      <c r="E58" s="5">
        <f t="shared" si="5"/>
        <v>6.0771287033020691</v>
      </c>
      <c r="F58" s="5">
        <f>F57</f>
        <v>0.89743010441308668</v>
      </c>
      <c r="G58" s="5">
        <f t="shared" si="4"/>
        <v>5.4537982467361417</v>
      </c>
      <c r="H58" s="5">
        <f>G58*$F$8/1000</f>
        <v>3.2662191722725757</v>
      </c>
      <c r="I58" s="5">
        <f>H58/$F$7*100</f>
        <v>54.436986204542926</v>
      </c>
      <c r="J58" s="5">
        <f>100-I58</f>
        <v>45.563013795457074</v>
      </c>
      <c r="K58" s="6"/>
    </row>
    <row r="59" spans="1:11">
      <c r="A59" s="5" t="s">
        <v>28</v>
      </c>
      <c r="B59" s="6" t="s">
        <v>36</v>
      </c>
      <c r="C59" s="5">
        <v>5</v>
      </c>
      <c r="D59" s="5">
        <v>1758.28</v>
      </c>
      <c r="E59" s="5">
        <f t="shared" si="5"/>
        <v>5.6534841186220257</v>
      </c>
      <c r="F59" s="5">
        <f>F57</f>
        <v>0.89743010441308668</v>
      </c>
      <c r="G59" s="5">
        <f t="shared" si="4"/>
        <v>5.0736068428726915</v>
      </c>
      <c r="H59" s="5">
        <f>G59*$F$8/1000</f>
        <v>3.0385267648434628</v>
      </c>
      <c r="I59" s="5">
        <f>H59/$F$7*100</f>
        <v>50.642112747391046</v>
      </c>
      <c r="J59" s="5">
        <f>100-I59</f>
        <v>49.357887252608954</v>
      </c>
      <c r="K59" s="6"/>
    </row>
    <row r="60" spans="1:11">
      <c r="A60" s="5" t="s">
        <v>28</v>
      </c>
      <c r="B60" s="6" t="s">
        <v>36</v>
      </c>
      <c r="C60" s="5">
        <v>12</v>
      </c>
      <c r="D60" s="5">
        <v>1730.8</v>
      </c>
      <c r="E60" s="5">
        <f t="shared" si="5"/>
        <v>5.5633846434497665</v>
      </c>
      <c r="F60" s="5">
        <f>F57</f>
        <v>0.89743010441308668</v>
      </c>
      <c r="G60" s="5">
        <f t="shared" si="4"/>
        <v>4.9927488614612869</v>
      </c>
      <c r="H60" s="5">
        <f>G60*$F$8/1000</f>
        <v>2.99010181819729</v>
      </c>
      <c r="I60" s="5">
        <f>H60/$F$7*100</f>
        <v>49.835030303288171</v>
      </c>
      <c r="J60" s="5">
        <f>100-I60</f>
        <v>50.164969696711829</v>
      </c>
      <c r="K60" s="6"/>
    </row>
    <row r="61" spans="1:11">
      <c r="A61" s="5" t="s">
        <v>28</v>
      </c>
      <c r="B61" s="6" t="s">
        <v>36</v>
      </c>
      <c r="C61" s="5">
        <v>24</v>
      </c>
      <c r="D61" s="5">
        <v>1675.76</v>
      </c>
      <c r="E61" s="5">
        <f t="shared" si="5"/>
        <v>5.3829233947786923</v>
      </c>
      <c r="F61" s="5">
        <f>F57</f>
        <v>0.89743010441308668</v>
      </c>
      <c r="G61" s="5">
        <f t="shared" si="4"/>
        <v>4.8307975042238889</v>
      </c>
      <c r="H61" s="5">
        <f>G61*$F$8/1000</f>
        <v>2.8931109498055378</v>
      </c>
      <c r="I61" s="5">
        <f>H61/$F$7*100</f>
        <v>48.218515830092294</v>
      </c>
      <c r="J61" s="5">
        <f>100-I61</f>
        <v>51.781484169907706</v>
      </c>
      <c r="K61" s="6"/>
    </row>
    <row r="62" spans="1:11">
      <c r="A62" s="5" t="s">
        <v>28</v>
      </c>
      <c r="B62" s="6" t="s">
        <v>36</v>
      </c>
      <c r="C62" s="5">
        <v>48</v>
      </c>
      <c r="D62" s="5">
        <v>1653.67</v>
      </c>
      <c r="E62" s="5">
        <f t="shared" si="5"/>
        <v>5.3104962693581976</v>
      </c>
      <c r="F62" s="5">
        <f>F57</f>
        <v>0.89743010441308668</v>
      </c>
      <c r="G62" s="5">
        <f t="shared" si="4"/>
        <v>4.7657992214954348</v>
      </c>
      <c r="H62" s="5">
        <f>G62*$F$8/1000</f>
        <v>2.8541842004818858</v>
      </c>
      <c r="I62" s="5">
        <f>H62/$F$7*100</f>
        <v>47.569736674698099</v>
      </c>
      <c r="J62" s="5">
        <f>100-I62</f>
        <v>52.430263325301901</v>
      </c>
      <c r="K62" s="6"/>
    </row>
    <row r="63" spans="1:11">
      <c r="A63" s="5" t="s">
        <v>30</v>
      </c>
      <c r="B63" s="6" t="s">
        <v>31</v>
      </c>
      <c r="C63" s="5"/>
      <c r="D63" s="5">
        <v>3466.41</v>
      </c>
      <c r="E63" s="5">
        <f t="shared" si="5"/>
        <v>11.253979625390247</v>
      </c>
      <c r="F63" s="5">
        <f>10/E63</f>
        <v>0.88857456054379835</v>
      </c>
      <c r="G63" s="5">
        <f t="shared" si="4"/>
        <v>10</v>
      </c>
      <c r="H63" s="5"/>
      <c r="I63" s="5"/>
      <c r="J63" s="5"/>
      <c r="K63" s="6"/>
    </row>
    <row r="64" spans="1:11">
      <c r="A64" s="5" t="s">
        <v>28</v>
      </c>
      <c r="B64" s="6" t="s">
        <v>36</v>
      </c>
      <c r="C64" s="5">
        <v>96</v>
      </c>
      <c r="D64" s="5">
        <v>1266.1500000000001</v>
      </c>
      <c r="E64" s="5">
        <f t="shared" si="5"/>
        <v>4.0399231755170835</v>
      </c>
      <c r="F64" s="5">
        <f>F63</f>
        <v>0.88857456054379835</v>
      </c>
      <c r="G64" s="5">
        <f t="shared" si="4"/>
        <v>3.5897729603157988</v>
      </c>
      <c r="H64" s="5">
        <f>G64*$F$8/1000</f>
        <v>2.1498751396067926</v>
      </c>
      <c r="I64" s="5">
        <f>H64/$F$7*100</f>
        <v>35.831252326779875</v>
      </c>
      <c r="J64" s="5">
        <f>100-I64</f>
        <v>64.168747673220125</v>
      </c>
      <c r="K64" s="6"/>
    </row>
    <row r="65" spans="1:11">
      <c r="A65" s="5" t="s">
        <v>28</v>
      </c>
      <c r="B65" s="6" t="s">
        <v>36</v>
      </c>
      <c r="C65" s="5">
        <v>120</v>
      </c>
      <c r="D65" s="5">
        <v>1266.82</v>
      </c>
      <c r="E65" s="5">
        <f t="shared" si="5"/>
        <v>4.0421199240019963</v>
      </c>
      <c r="F65" s="5">
        <f>F63</f>
        <v>0.88857456054379835</v>
      </c>
      <c r="G65" s="5">
        <f t="shared" si="4"/>
        <v>3.5917249351354053</v>
      </c>
      <c r="H65" s="5">
        <f>G65*$F$8/1000</f>
        <v>2.1510441556376674</v>
      </c>
      <c r="I65" s="5">
        <f>H65/$F$7*100</f>
        <v>35.850735927294458</v>
      </c>
      <c r="J65" s="5">
        <f>100-I65</f>
        <v>64.149264072705535</v>
      </c>
      <c r="K65" s="6"/>
    </row>
    <row r="66" spans="1:11">
      <c r="A66" s="5" t="s">
        <v>28</v>
      </c>
      <c r="B66" s="6" t="s">
        <v>36</v>
      </c>
      <c r="C66" s="5">
        <v>168</v>
      </c>
      <c r="D66" s="5">
        <v>1163.6500000000001</v>
      </c>
      <c r="E66" s="5">
        <f t="shared" si="5"/>
        <v>3.7038534446161901</v>
      </c>
      <c r="F66" s="5">
        <f>F63</f>
        <v>0.88857456054379835</v>
      </c>
      <c r="G66" s="5">
        <f t="shared" si="4"/>
        <v>3.2911499468684648</v>
      </c>
      <c r="H66" s="5">
        <f>G66*$F$8/1000</f>
        <v>1.9710331348833487</v>
      </c>
      <c r="I66" s="5">
        <f>H66/$F$7*100</f>
        <v>32.850552248055813</v>
      </c>
      <c r="J66" s="5">
        <f>100-I66</f>
        <v>67.149447751944194</v>
      </c>
      <c r="K66" s="6"/>
    </row>
    <row r="67" spans="1:11">
      <c r="A67" s="7" t="s">
        <v>28</v>
      </c>
      <c r="B67" s="8" t="s">
        <v>36</v>
      </c>
      <c r="C67" s="7">
        <v>216</v>
      </c>
      <c r="D67" s="7">
        <v>337.76</v>
      </c>
      <c r="E67" s="7">
        <f>(D67-$F$13)/$F$12</f>
        <v>0.76823225296015873</v>
      </c>
      <c r="F67" s="7">
        <v>1.0920000000000001</v>
      </c>
      <c r="G67" s="7">
        <f t="shared" si="4"/>
        <v>0.83890962023249338</v>
      </c>
      <c r="H67" s="7">
        <f>G67*$F$8/1000</f>
        <v>0.50241365034855889</v>
      </c>
      <c r="I67" s="7">
        <f>H67/$F$7*100</f>
        <v>8.3735608391426481</v>
      </c>
      <c r="J67" s="7">
        <f>100-I67</f>
        <v>91.626439160857359</v>
      </c>
      <c r="K67" s="8"/>
    </row>
    <row r="68" spans="1:11">
      <c r="A68" s="7" t="s">
        <v>28</v>
      </c>
      <c r="B68" s="8" t="s">
        <v>36</v>
      </c>
      <c r="C68" s="7">
        <v>288</v>
      </c>
      <c r="D68" s="7">
        <v>307.7</v>
      </c>
      <c r="E68" s="7">
        <f>(D68-$F$13)/$F$12</f>
        <v>0.66995244163209966</v>
      </c>
      <c r="F68" s="7">
        <v>1.077</v>
      </c>
      <c r="G68" s="7">
        <f t="shared" si="4"/>
        <v>0.72153877963777135</v>
      </c>
      <c r="H68" s="7">
        <f>G68*$F$8/1000</f>
        <v>0.43212155803552682</v>
      </c>
      <c r="I68" s="7">
        <f>H68/$F$7*100</f>
        <v>7.2020259672587805</v>
      </c>
      <c r="J68" s="7">
        <f>100-I68</f>
        <v>92.797974032741223</v>
      </c>
      <c r="K68" s="8"/>
    </row>
    <row r="69" spans="1:11">
      <c r="A69" s="5" t="s">
        <v>30</v>
      </c>
      <c r="B69" s="6" t="s">
        <v>31</v>
      </c>
      <c r="C69" s="5"/>
      <c r="D69" s="5"/>
      <c r="E69" s="5" t="str">
        <f>IF(D69="","",(D69-$F$5)/$F$4)</f>
        <v/>
      </c>
      <c r="F69" s="5" t="str">
        <f>IF(E69="","",10/E69)</f>
        <v/>
      </c>
      <c r="G69" s="5" t="str">
        <f>IF(D69="","",E69*F69)</f>
        <v/>
      </c>
      <c r="H69" s="5"/>
      <c r="I69" s="5"/>
      <c r="J69" s="5"/>
      <c r="K69" s="6"/>
    </row>
    <row r="70" spans="1:11">
      <c r="A70" s="5" t="s">
        <v>28</v>
      </c>
      <c r="B70" s="6" t="s">
        <v>37</v>
      </c>
      <c r="C70" s="5">
        <v>8.3000000000000004E-2</v>
      </c>
      <c r="D70" s="5">
        <v>2078.35</v>
      </c>
      <c r="E70" s="5">
        <f t="shared" ref="E70:E76" si="6">(D70-$F$5)/$F$4</f>
        <v>6.7029069358849416</v>
      </c>
      <c r="F70" s="5">
        <f>F75</f>
        <v>0.91768999568960052</v>
      </c>
      <c r="G70" s="5">
        <f t="shared" ref="G70:G76" si="7">E70*F70</f>
        <v>6.1511906371000453</v>
      </c>
      <c r="H70" s="5">
        <f>G70*$F$8/1000</f>
        <v>3.6838797260649288</v>
      </c>
      <c r="I70" s="5">
        <f>H70/$F$7*100</f>
        <v>61.397995434415478</v>
      </c>
      <c r="J70" s="5">
        <f>100-I70</f>
        <v>38.602004565584522</v>
      </c>
      <c r="K70" s="6"/>
    </row>
    <row r="71" spans="1:11">
      <c r="A71" s="5" t="s">
        <v>28</v>
      </c>
      <c r="B71" s="6" t="s">
        <v>37</v>
      </c>
      <c r="C71" s="5">
        <v>0.16</v>
      </c>
      <c r="D71" s="5">
        <v>1846.52</v>
      </c>
      <c r="E71" s="5">
        <f t="shared" si="6"/>
        <v>5.94279917281417</v>
      </c>
      <c r="F71" s="5">
        <f>F75</f>
        <v>0.91768999568960052</v>
      </c>
      <c r="G71" s="5">
        <f t="shared" si="7"/>
        <v>5.4536473472839972</v>
      </c>
      <c r="H71" s="5">
        <f>G71*$F$8/1000</f>
        <v>3.2661288002673454</v>
      </c>
      <c r="I71" s="5">
        <f>H71/$F$7*100</f>
        <v>54.435480004455762</v>
      </c>
      <c r="J71" s="5">
        <f>100-I71</f>
        <v>45.564519995544238</v>
      </c>
      <c r="K71" s="6"/>
    </row>
    <row r="72" spans="1:11">
      <c r="A72" s="5" t="s">
        <v>28</v>
      </c>
      <c r="B72" s="6" t="s">
        <v>37</v>
      </c>
      <c r="C72" s="5">
        <v>0.5</v>
      </c>
      <c r="D72" s="5">
        <v>2107.36</v>
      </c>
      <c r="E72" s="5">
        <f t="shared" si="6"/>
        <v>6.7980228665525999</v>
      </c>
      <c r="F72" s="5">
        <f>F75</f>
        <v>0.91768999568960052</v>
      </c>
      <c r="G72" s="5">
        <f t="shared" si="7"/>
        <v>6.2384775751044614</v>
      </c>
      <c r="H72" s="5">
        <f>G72*$F$8/1000</f>
        <v>3.7361549033818768</v>
      </c>
      <c r="I72" s="5">
        <f>H72/$F$7*100</f>
        <v>62.26924838969795</v>
      </c>
      <c r="J72" s="5">
        <f>100-I72</f>
        <v>37.73075161030205</v>
      </c>
      <c r="K72" s="6"/>
    </row>
    <row r="73" spans="1:11">
      <c r="A73" s="5" t="s">
        <v>28</v>
      </c>
      <c r="B73" s="6" t="s">
        <v>37</v>
      </c>
      <c r="C73" s="5">
        <v>1</v>
      </c>
      <c r="D73" s="5">
        <v>20.27</v>
      </c>
      <c r="E73" s="5">
        <f t="shared" si="6"/>
        <v>-4.497981311515948E-2</v>
      </c>
      <c r="F73" s="5">
        <f>F75</f>
        <v>0.91768999568960052</v>
      </c>
      <c r="G73" s="5">
        <f t="shared" si="7"/>
        <v>-4.1277524503769737E-2</v>
      </c>
      <c r="H73" s="5">
        <f>G73*$F$8/1000</f>
        <v>-2.4720650786605181E-2</v>
      </c>
      <c r="I73" s="5">
        <f>H73/$F$7*100</f>
        <v>-0.41201084644341968</v>
      </c>
      <c r="J73" s="13">
        <f>100-I73</f>
        <v>100.41201084644342</v>
      </c>
      <c r="K73" s="9" t="s">
        <v>44</v>
      </c>
    </row>
    <row r="74" spans="1:11">
      <c r="A74" s="5" t="s">
        <v>28</v>
      </c>
      <c r="B74" s="6" t="s">
        <v>37</v>
      </c>
      <c r="C74" s="5">
        <v>2</v>
      </c>
      <c r="D74" s="5">
        <v>2045.38</v>
      </c>
      <c r="E74" s="5">
        <f t="shared" si="6"/>
        <v>6.5948072380527227</v>
      </c>
      <c r="F74" s="5">
        <f>F75</f>
        <v>0.91768999568960052</v>
      </c>
      <c r="G74" s="5">
        <f t="shared" si="7"/>
        <v>6.0519886258623492</v>
      </c>
      <c r="H74" s="5">
        <f>G74*$F$8/1000</f>
        <v>3.6244687437781398</v>
      </c>
      <c r="I74" s="5">
        <f>H74/$F$7*100</f>
        <v>60.407812396302333</v>
      </c>
      <c r="J74" s="5">
        <f>100-I74</f>
        <v>39.592187603697667</v>
      </c>
      <c r="K74" s="6"/>
    </row>
    <row r="75" spans="1:11">
      <c r="A75" s="5" t="s">
        <v>30</v>
      </c>
      <c r="B75" s="6" t="s">
        <v>31</v>
      </c>
      <c r="C75" s="5"/>
      <c r="D75" s="5">
        <v>3357.51</v>
      </c>
      <c r="E75" s="5">
        <f t="shared" si="6"/>
        <v>10.896926028364812</v>
      </c>
      <c r="F75" s="5">
        <f>10/E75</f>
        <v>0.91768999568960052</v>
      </c>
      <c r="G75" s="5">
        <f t="shared" si="7"/>
        <v>10</v>
      </c>
      <c r="H75" s="5"/>
      <c r="I75" s="5"/>
      <c r="J75" s="5"/>
      <c r="K75" s="6"/>
    </row>
    <row r="76" spans="1:11">
      <c r="A76" s="5" t="s">
        <v>28</v>
      </c>
      <c r="B76" s="6" t="s">
        <v>37</v>
      </c>
      <c r="C76" s="5">
        <v>5</v>
      </c>
      <c r="D76" s="5">
        <v>2052.81</v>
      </c>
      <c r="E76" s="5">
        <f t="shared" si="6"/>
        <v>6.6191681951316852</v>
      </c>
      <c r="F76" s="5">
        <f>F75</f>
        <v>0.91768999568960052</v>
      </c>
      <c r="G76" s="5">
        <f t="shared" si="7"/>
        <v>6.0743444324591369</v>
      </c>
      <c r="H76" s="5">
        <f>G76*$F$8/1000</f>
        <v>3.6378573879513532</v>
      </c>
      <c r="I76" s="5">
        <f>H76/$F$7*100</f>
        <v>60.630956465855888</v>
      </c>
      <c r="J76" s="5">
        <f>100-I76</f>
        <v>39.369043534144112</v>
      </c>
      <c r="K76" s="6"/>
    </row>
    <row r="77" spans="1:11">
      <c r="A77" s="5" t="s">
        <v>28</v>
      </c>
      <c r="B77" s="6" t="s">
        <v>37</v>
      </c>
      <c r="C77" s="5">
        <v>12</v>
      </c>
      <c r="D77" s="5"/>
      <c r="E77" s="5" t="str">
        <f>IF(D77="","",(D77-$F$5)/$F$4)</f>
        <v/>
      </c>
      <c r="F77" s="5">
        <f>F75</f>
        <v>0.91768999568960052</v>
      </c>
      <c r="G77" s="5" t="str">
        <f>IF(D77="","",E77*F77)</f>
        <v/>
      </c>
      <c r="H77" s="5" t="str">
        <f>IF(D77="","",G77*$F$8/1000)</f>
        <v/>
      </c>
      <c r="I77" s="5" t="str">
        <f>IF(D77="","",H77/$F$7*100)</f>
        <v/>
      </c>
      <c r="J77" s="5" t="str">
        <f>IF(D77="","",100-I77)</f>
        <v/>
      </c>
      <c r="K77" s="9" t="s">
        <v>43</v>
      </c>
    </row>
    <row r="78" spans="1:11">
      <c r="A78" s="5" t="s">
        <v>28</v>
      </c>
      <c r="B78" s="6" t="s">
        <v>37</v>
      </c>
      <c r="C78" s="5">
        <v>24</v>
      </c>
      <c r="D78" s="5">
        <v>1480.46</v>
      </c>
      <c r="E78" s="5">
        <f t="shared" ref="E78:E93" si="8">(D78-$F$5)/$F$4</f>
        <v>4.7425876050719173</v>
      </c>
      <c r="F78" s="5">
        <f>F75</f>
        <v>0.91768999568960052</v>
      </c>
      <c r="G78" s="5">
        <f t="shared" ref="G78:G93" si="9">E78*F78</f>
        <v>4.3522251988560008</v>
      </c>
      <c r="H78" s="5">
        <f>G78*$F$8/1000</f>
        <v>2.6064993135854522</v>
      </c>
      <c r="I78" s="5">
        <f>H78/$F$7*100</f>
        <v>43.441655226424203</v>
      </c>
      <c r="J78" s="5">
        <f>100-I78</f>
        <v>56.558344773575797</v>
      </c>
      <c r="K78" s="6"/>
    </row>
    <row r="79" spans="1:11">
      <c r="A79" s="5" t="s">
        <v>28</v>
      </c>
      <c r="B79" s="6" t="s">
        <v>37</v>
      </c>
      <c r="C79" s="5">
        <v>48</v>
      </c>
      <c r="D79" s="5">
        <v>1757.63</v>
      </c>
      <c r="E79" s="5">
        <f t="shared" si="8"/>
        <v>5.6513529447187523</v>
      </c>
      <c r="F79" s="5">
        <f>F75</f>
        <v>0.91768999568960052</v>
      </c>
      <c r="G79" s="5">
        <f t="shared" si="9"/>
        <v>5.1861900594793626</v>
      </c>
      <c r="H79" s="5">
        <f>G79*$F$8/1000</f>
        <v>3.1059516023458205</v>
      </c>
      <c r="I79" s="5">
        <f>H79/$F$7*100</f>
        <v>51.765860039097014</v>
      </c>
      <c r="J79" s="5">
        <f>100-I79</f>
        <v>48.234139960902986</v>
      </c>
      <c r="K79" s="6"/>
    </row>
    <row r="80" spans="1:11">
      <c r="A80" s="7" t="s">
        <v>28</v>
      </c>
      <c r="B80" s="8" t="s">
        <v>37</v>
      </c>
      <c r="C80" s="7">
        <v>96</v>
      </c>
      <c r="D80" s="7">
        <v>1822.81</v>
      </c>
      <c r="E80" s="7">
        <f>(D80-$F$13)/$F$12</f>
        <v>5.6235361056791895</v>
      </c>
      <c r="F80" s="7">
        <v>1.077</v>
      </c>
      <c r="G80" s="7">
        <f t="shared" si="9"/>
        <v>6.0565483858164866</v>
      </c>
      <c r="H80" s="7">
        <f>G80*$F$8/1000</f>
        <v>3.6271995333507236</v>
      </c>
      <c r="I80" s="7">
        <f>H80/$F$7*100</f>
        <v>60.453325555845396</v>
      </c>
      <c r="J80" s="7">
        <f>100-I80</f>
        <v>39.546674444154604</v>
      </c>
      <c r="K80" s="8"/>
    </row>
    <row r="81" spans="1:11">
      <c r="A81" s="7" t="s">
        <v>30</v>
      </c>
      <c r="B81" s="8" t="s">
        <v>32</v>
      </c>
      <c r="C81" s="7"/>
      <c r="D81" s="7">
        <v>1522.78</v>
      </c>
      <c r="E81" s="7">
        <f t="shared" ref="E81:E86" si="10">(D81-$F$13)/$F$12</f>
        <v>4.6426015816353594</v>
      </c>
      <c r="F81" s="7">
        <f>5/E81</f>
        <v>1.076982358292039</v>
      </c>
      <c r="G81" s="7">
        <f t="shared" si="9"/>
        <v>5</v>
      </c>
      <c r="H81" s="7"/>
      <c r="I81" s="7"/>
      <c r="J81" s="7"/>
      <c r="K81" s="8"/>
    </row>
    <row r="82" spans="1:11">
      <c r="A82" s="7" t="s">
        <v>28</v>
      </c>
      <c r="B82" s="8" t="s">
        <v>37</v>
      </c>
      <c r="C82" s="7">
        <v>120</v>
      </c>
      <c r="D82" s="7">
        <v>1739.4</v>
      </c>
      <c r="E82" s="7">
        <f t="shared" si="10"/>
        <v>5.3508308807000349</v>
      </c>
      <c r="F82" s="7">
        <f>F81</f>
        <v>1.076982358292039</v>
      </c>
      <c r="G82" s="7">
        <f t="shared" si="9"/>
        <v>5.7627504607181921</v>
      </c>
      <c r="H82" s="7">
        <f>G82*$F$8/1000</f>
        <v>3.4512472204274811</v>
      </c>
      <c r="I82" s="7">
        <f>H82/$F$7*100</f>
        <v>57.520787007124682</v>
      </c>
      <c r="J82" s="7">
        <f>100-I82</f>
        <v>42.479212992875318</v>
      </c>
      <c r="K82" s="8"/>
    </row>
    <row r="83" spans="1:11">
      <c r="A83" s="7" t="s">
        <v>28</v>
      </c>
      <c r="B83" s="8" t="s">
        <v>37</v>
      </c>
      <c r="C83" s="7">
        <v>168</v>
      </c>
      <c r="D83" s="7">
        <v>1728.68</v>
      </c>
      <c r="E83" s="7">
        <f t="shared" si="10"/>
        <v>5.3157823252297494</v>
      </c>
      <c r="F83" s="7">
        <f>F81</f>
        <v>1.076982358292039</v>
      </c>
      <c r="G83" s="7">
        <f t="shared" si="9"/>
        <v>5.7250037847930741</v>
      </c>
      <c r="H83" s="7">
        <f>G83*$F$8/1000</f>
        <v>3.4286411556230187</v>
      </c>
      <c r="I83" s="7">
        <f>H83/$F$7*100</f>
        <v>57.144019260383651</v>
      </c>
      <c r="J83" s="7">
        <f>100-I83</f>
        <v>42.855980739616349</v>
      </c>
      <c r="K83" s="8"/>
    </row>
    <row r="84" spans="1:11">
      <c r="A84" s="7" t="s">
        <v>28</v>
      </c>
      <c r="B84" s="8" t="s">
        <v>37</v>
      </c>
      <c r="C84" s="7">
        <v>216</v>
      </c>
      <c r="D84" s="7">
        <v>1729.92</v>
      </c>
      <c r="E84" s="7">
        <f t="shared" si="10"/>
        <v>5.319836449183402</v>
      </c>
      <c r="F84" s="7">
        <f>F81</f>
        <v>1.076982358292039</v>
      </c>
      <c r="G84" s="7">
        <f t="shared" si="9"/>
        <v>5.7293700047694873</v>
      </c>
      <c r="H84" s="7">
        <f>G84*$F$8/1000</f>
        <v>3.4312560362533859</v>
      </c>
      <c r="I84" s="7">
        <f>H84/$F$7*100</f>
        <v>57.1876006042231</v>
      </c>
      <c r="J84" s="7">
        <f>100-I84</f>
        <v>42.8123993957769</v>
      </c>
      <c r="K84" s="8"/>
    </row>
    <row r="85" spans="1:11">
      <c r="A85" s="7" t="s">
        <v>28</v>
      </c>
      <c r="B85" s="8" t="s">
        <v>37</v>
      </c>
      <c r="C85" s="7">
        <v>264</v>
      </c>
      <c r="D85" s="7">
        <v>1693.76</v>
      </c>
      <c r="E85" s="7">
        <f t="shared" si="10"/>
        <v>5.2016129635672135</v>
      </c>
      <c r="F85" s="7">
        <f>F82</f>
        <v>1.076982358292039</v>
      </c>
      <c r="G85" s="7">
        <f t="shared" si="9"/>
        <v>5.6020453964250594</v>
      </c>
      <c r="H85" s="7">
        <f>G85*$F$8/1000</f>
        <v>3.3550027430323639</v>
      </c>
      <c r="I85" s="7">
        <f>H85/$F$7*100</f>
        <v>55.916712383872735</v>
      </c>
      <c r="J85" s="7">
        <f>100-I85</f>
        <v>44.083287616127265</v>
      </c>
      <c r="K85" s="8"/>
    </row>
    <row r="86" spans="1:11">
      <c r="A86" s="7"/>
      <c r="B86" s="8" t="s">
        <v>38</v>
      </c>
      <c r="C86" s="7"/>
      <c r="D86" s="7">
        <v>337.75</v>
      </c>
      <c r="E86" s="7">
        <f t="shared" si="10"/>
        <v>0.76819955841214538</v>
      </c>
      <c r="F86" s="7">
        <f>1/0.7682</f>
        <v>1.3017443374121322</v>
      </c>
      <c r="G86" s="7">
        <f t="shared" si="9"/>
        <v>0.99999942516551077</v>
      </c>
      <c r="H86" s="7"/>
      <c r="I86" s="7"/>
      <c r="J86" s="7"/>
      <c r="K86" s="8"/>
    </row>
    <row r="87" spans="1:11">
      <c r="A87" s="5" t="s">
        <v>28</v>
      </c>
      <c r="B87" s="6" t="s">
        <v>39</v>
      </c>
      <c r="C87" s="5">
        <v>8.3000000000000004E-2</v>
      </c>
      <c r="D87" s="5">
        <v>2130.5100000000002</v>
      </c>
      <c r="E87" s="5">
        <f t="shared" si="8"/>
        <v>6.8739254447999727</v>
      </c>
      <c r="F87" s="5">
        <f>F88</f>
        <v>0.86963810161954858</v>
      </c>
      <c r="G87" s="5">
        <f>E87*F87</f>
        <v>5.9778274744901596</v>
      </c>
      <c r="H87" s="5">
        <f>G87*$F$8/1000</f>
        <v>3.5800544542333044</v>
      </c>
      <c r="I87" s="5">
        <f>H87/$F$7*100</f>
        <v>59.667574237221743</v>
      </c>
      <c r="J87" s="5">
        <f>100-I87</f>
        <v>40.332425762778257</v>
      </c>
      <c r="K87" s="6"/>
    </row>
    <row r="88" spans="1:11">
      <c r="A88" s="5" t="s">
        <v>30</v>
      </c>
      <c r="B88" s="6" t="s">
        <v>32</v>
      </c>
      <c r="C88" s="5"/>
      <c r="D88" s="5">
        <v>1787.57</v>
      </c>
      <c r="E88" s="5">
        <f t="shared" si="8"/>
        <v>5.7495180934326315</v>
      </c>
      <c r="F88" s="5">
        <f>5/E88</f>
        <v>0.86963810161954858</v>
      </c>
      <c r="G88" s="5">
        <f t="shared" si="9"/>
        <v>5</v>
      </c>
      <c r="H88" s="5"/>
      <c r="I88" s="5"/>
      <c r="J88" s="5"/>
      <c r="K88" s="6"/>
    </row>
    <row r="89" spans="1:11">
      <c r="A89" s="5" t="s">
        <v>28</v>
      </c>
      <c r="B89" s="6" t="s">
        <v>39</v>
      </c>
      <c r="C89" s="5">
        <v>0.16</v>
      </c>
      <c r="D89" s="5">
        <v>1899.18</v>
      </c>
      <c r="E89" s="5">
        <f t="shared" si="8"/>
        <v>6.1154570462701807</v>
      </c>
      <c r="F89" s="5">
        <f>F88</f>
        <v>0.86963810161954858</v>
      </c>
      <c r="G89" s="5">
        <f t="shared" si="9"/>
        <v>5.3182344562542916</v>
      </c>
      <c r="H89" s="5">
        <f>G89*$F$8/1000</f>
        <v>3.185031524415828</v>
      </c>
      <c r="I89" s="5">
        <f>H89/$F$7*100</f>
        <v>53.0838587402638</v>
      </c>
      <c r="J89" s="5">
        <f>100-I89</f>
        <v>46.9161412597362</v>
      </c>
      <c r="K89" s="6"/>
    </row>
    <row r="90" spans="1:11">
      <c r="A90" s="5" t="s">
        <v>28</v>
      </c>
      <c r="B90" s="6" t="s">
        <v>39</v>
      </c>
      <c r="C90" s="5">
        <v>0.5</v>
      </c>
      <c r="D90" s="5">
        <v>1728.69</v>
      </c>
      <c r="E90" s="5">
        <f t="shared" si="8"/>
        <v>5.5564665250868313</v>
      </c>
      <c r="F90" s="5">
        <f>F88</f>
        <v>0.86963810161954858</v>
      </c>
      <c r="G90" s="5">
        <f t="shared" si="9"/>
        <v>4.8321150005890816</v>
      </c>
      <c r="H90" s="5">
        <f>G90*$F$8/1000</f>
        <v>2.8938999837398178</v>
      </c>
      <c r="I90" s="5">
        <f>H90/$F$7*100</f>
        <v>48.23166639566363</v>
      </c>
      <c r="J90" s="5">
        <f>100-I90</f>
        <v>51.76833360433637</v>
      </c>
      <c r="K90" s="6"/>
    </row>
    <row r="91" spans="1:11">
      <c r="A91" s="5" t="s">
        <v>28</v>
      </c>
      <c r="B91" s="6" t="s">
        <v>39</v>
      </c>
      <c r="C91" s="5">
        <v>1</v>
      </c>
      <c r="D91" s="5">
        <v>1677.67</v>
      </c>
      <c r="E91" s="5">
        <f t="shared" si="8"/>
        <v>5.3891857673252357</v>
      </c>
      <c r="F91" s="5">
        <f>F88</f>
        <v>0.86963810161954858</v>
      </c>
      <c r="G91" s="5">
        <f t="shared" si="9"/>
        <v>4.6866412799718082</v>
      </c>
      <c r="H91" s="5">
        <f>G91*$F$8/1000</f>
        <v>2.8067773888351897</v>
      </c>
      <c r="I91" s="5">
        <f>H91/$F$7*100</f>
        <v>46.779623147253162</v>
      </c>
      <c r="J91" s="5">
        <f>100-I91</f>
        <v>53.220376852746838</v>
      </c>
      <c r="K91" s="6"/>
    </row>
    <row r="92" spans="1:11">
      <c r="A92" s="5" t="s">
        <v>28</v>
      </c>
      <c r="B92" s="6" t="s">
        <v>39</v>
      </c>
      <c r="C92" s="5">
        <v>2</v>
      </c>
      <c r="D92" s="5">
        <v>1459.37</v>
      </c>
      <c r="E92" s="5">
        <f t="shared" si="8"/>
        <v>4.6734392087333818</v>
      </c>
      <c r="F92" s="5">
        <f>F88</f>
        <v>0.86963810161954858</v>
      </c>
      <c r="G92" s="5">
        <f t="shared" si="9"/>
        <v>4.0642008015172637</v>
      </c>
      <c r="H92" s="5">
        <f>G92*$F$8/1000</f>
        <v>2.4340047022871634</v>
      </c>
      <c r="I92" s="5">
        <f>H92/$F$7*100</f>
        <v>40.566745038119393</v>
      </c>
      <c r="J92" s="5">
        <f>100-I92</f>
        <v>59.433254961880607</v>
      </c>
      <c r="K92" s="6"/>
    </row>
    <row r="93" spans="1:11">
      <c r="A93" s="5" t="s">
        <v>28</v>
      </c>
      <c r="B93" s="6" t="s">
        <v>39</v>
      </c>
      <c r="C93" s="5">
        <v>5</v>
      </c>
      <c r="D93" s="5">
        <v>1169.23</v>
      </c>
      <c r="E93" s="5">
        <f t="shared" si="8"/>
        <v>3.7221487528935264</v>
      </c>
      <c r="F93" s="5">
        <f>F88</f>
        <v>0.86963810161954858</v>
      </c>
      <c r="G93" s="5">
        <f t="shared" si="9"/>
        <v>3.2369223754118965</v>
      </c>
      <c r="H93" s="5">
        <f>G93*$F$8/1000</f>
        <v>1.9385568448659793</v>
      </c>
      <c r="I93" s="5">
        <f>H93/$F$7*100</f>
        <v>32.309280747766323</v>
      </c>
      <c r="J93" s="5">
        <f>100-I93</f>
        <v>67.690719252233677</v>
      </c>
      <c r="K93" s="6"/>
    </row>
    <row r="94" spans="1:11">
      <c r="A94" s="5" t="s">
        <v>30</v>
      </c>
      <c r="B94" s="6" t="s">
        <v>31</v>
      </c>
      <c r="C94" s="5"/>
      <c r="D94" s="5"/>
      <c r="E94" s="5" t="str">
        <f>IF(D94="","",(D94-$F$5)/$F$4)</f>
        <v/>
      </c>
      <c r="F94" s="5" t="str">
        <f>IF(E94="","",10/E94)</f>
        <v/>
      </c>
      <c r="G94" s="5" t="str">
        <f>IF(D94="","",E94*F94)</f>
        <v/>
      </c>
      <c r="H94" s="5"/>
      <c r="I94" s="5"/>
      <c r="J94" s="5"/>
      <c r="K94" s="6"/>
    </row>
    <row r="95" spans="1:11">
      <c r="A95" s="5" t="s">
        <v>28</v>
      </c>
      <c r="B95" s="6" t="s">
        <v>39</v>
      </c>
      <c r="C95" s="5">
        <v>12</v>
      </c>
      <c r="D95" s="5">
        <v>948.57</v>
      </c>
      <c r="E95" s="5">
        <f t="shared" ref="E95:E110" si="11">(D95-$F$5)/$F$4</f>
        <v>2.9986643936682476</v>
      </c>
      <c r="F95" s="5">
        <f>F100</f>
        <v>0.91141412446468617</v>
      </c>
      <c r="G95" s="5">
        <f t="shared" ref="G95:G110" si="12">E95*F95</f>
        <v>2.7330250829185747</v>
      </c>
      <c r="H95" s="5">
        <f>G95*$F$8/1000</f>
        <v>1.6367783552449355</v>
      </c>
      <c r="I95" s="5">
        <f>H95/$F$7*100</f>
        <v>27.279639254082262</v>
      </c>
      <c r="J95" s="5">
        <f>100-I95</f>
        <v>72.720360745917731</v>
      </c>
      <c r="K95" s="6"/>
    </row>
    <row r="96" spans="1:11">
      <c r="A96" s="5" t="s">
        <v>28</v>
      </c>
      <c r="B96" s="6" t="s">
        <v>39</v>
      </c>
      <c r="C96" s="5">
        <v>24</v>
      </c>
      <c r="D96" s="5">
        <v>886.11</v>
      </c>
      <c r="E96" s="5">
        <f t="shared" si="11"/>
        <v>2.7938749752090302</v>
      </c>
      <c r="F96" s="5">
        <f>F100</f>
        <v>0.91141412446468617</v>
      </c>
      <c r="G96" s="5">
        <f t="shared" si="12"/>
        <v>2.5463771143939349</v>
      </c>
      <c r="H96" s="5">
        <f>G96*$F$8/1000</f>
        <v>1.5249969607597718</v>
      </c>
      <c r="I96" s="5">
        <f>H96/$F$7*100</f>
        <v>25.416616012662864</v>
      </c>
      <c r="J96" s="5">
        <f>100-I96</f>
        <v>74.583383987337129</v>
      </c>
      <c r="K96" s="6"/>
    </row>
    <row r="97" spans="1:11">
      <c r="A97" s="5" t="s">
        <v>28</v>
      </c>
      <c r="B97" s="6" t="s">
        <v>39</v>
      </c>
      <c r="C97" s="5">
        <v>48</v>
      </c>
      <c r="D97" s="5">
        <v>649.14</v>
      </c>
      <c r="E97" s="5">
        <f t="shared" si="11"/>
        <v>2.0169145446569843</v>
      </c>
      <c r="F97" s="5">
        <f>F100</f>
        <v>0.91141412446468617</v>
      </c>
      <c r="G97" s="5">
        <f t="shared" si="12"/>
        <v>1.8382444038386365</v>
      </c>
      <c r="H97" s="5">
        <f>G97*$F$8/1000</f>
        <v>1.1009041485415638</v>
      </c>
      <c r="I97" s="5">
        <f>H97/$F$7*100</f>
        <v>18.34840247569273</v>
      </c>
      <c r="J97" s="5">
        <f>100-I97</f>
        <v>81.651597524307277</v>
      </c>
      <c r="K97" s="6"/>
    </row>
    <row r="98" spans="1:11">
      <c r="A98" s="5" t="s">
        <v>28</v>
      </c>
      <c r="B98" s="6" t="s">
        <v>39</v>
      </c>
      <c r="C98" s="5">
        <v>96</v>
      </c>
      <c r="D98" s="5">
        <v>584.27</v>
      </c>
      <c r="E98" s="5">
        <f t="shared" si="11"/>
        <v>1.8042233891102433</v>
      </c>
      <c r="F98" s="5">
        <f>F100</f>
        <v>0.91141412446468617</v>
      </c>
      <c r="G98" s="5">
        <f t="shared" si="12"/>
        <v>1.6443946805246212</v>
      </c>
      <c r="H98" s="5">
        <f>G98*$F$8/1000</f>
        <v>0.98480970313246086</v>
      </c>
      <c r="I98" s="5">
        <f>H98/$F$7*100</f>
        <v>16.413495052207679</v>
      </c>
      <c r="J98" s="5">
        <f>100-I98</f>
        <v>83.586504947792321</v>
      </c>
      <c r="K98" s="6"/>
    </row>
    <row r="99" spans="1:11">
      <c r="A99" s="5" t="s">
        <v>28</v>
      </c>
      <c r="B99" s="6" t="s">
        <v>39</v>
      </c>
      <c r="C99" s="5">
        <v>120</v>
      </c>
      <c r="D99" s="5">
        <v>532.46</v>
      </c>
      <c r="E99" s="5">
        <f t="shared" si="11"/>
        <v>1.6343524353738994</v>
      </c>
      <c r="F99" s="5">
        <f>F100</f>
        <v>0.91141412446468617</v>
      </c>
      <c r="G99" s="5">
        <f t="shared" si="12"/>
        <v>1.48957189395303</v>
      </c>
      <c r="H99" s="5">
        <f>G99*$F$8/1000</f>
        <v>0.89208805650619882</v>
      </c>
      <c r="I99" s="5">
        <f>H99/$F$7*100</f>
        <v>14.868134275103314</v>
      </c>
      <c r="J99" s="5">
        <f>100-I99</f>
        <v>85.131865724896684</v>
      </c>
      <c r="K99" s="6"/>
    </row>
    <row r="100" spans="1:11">
      <c r="A100" s="5" t="s">
        <v>30</v>
      </c>
      <c r="B100" s="6" t="s">
        <v>35</v>
      </c>
      <c r="C100" s="5"/>
      <c r="D100" s="5">
        <v>703.27</v>
      </c>
      <c r="E100" s="5">
        <f t="shared" si="11"/>
        <v>2.1943921498634755</v>
      </c>
      <c r="F100" s="5">
        <f>2/E100</f>
        <v>0.91141412446468617</v>
      </c>
      <c r="G100" s="5">
        <f t="shared" si="12"/>
        <v>2</v>
      </c>
      <c r="H100" s="5"/>
      <c r="I100" s="5"/>
      <c r="J100" s="5"/>
      <c r="K100" s="6"/>
    </row>
    <row r="101" spans="1:11">
      <c r="A101" s="5" t="s">
        <v>28</v>
      </c>
      <c r="B101" s="6" t="s">
        <v>39</v>
      </c>
      <c r="C101" s="5">
        <v>168</v>
      </c>
      <c r="D101" s="5">
        <v>499.97</v>
      </c>
      <c r="E101" s="5">
        <f t="shared" si="11"/>
        <v>1.527826527501021</v>
      </c>
      <c r="F101" s="5">
        <f>F100</f>
        <v>0.91141412446468617</v>
      </c>
      <c r="G101" s="5">
        <f t="shared" si="12"/>
        <v>1.3924826768962648</v>
      </c>
      <c r="H101" s="5">
        <f>G101*$F$8/1000</f>
        <v>0.83394240317890167</v>
      </c>
      <c r="I101" s="5">
        <f>H101/$F$7*100</f>
        <v>13.899040052981695</v>
      </c>
      <c r="J101" s="5">
        <f>100-I101</f>
        <v>86.10095994701831</v>
      </c>
      <c r="K101" s="6"/>
    </row>
    <row r="102" spans="1:11">
      <c r="A102" s="7" t="s">
        <v>28</v>
      </c>
      <c r="B102" s="8" t="s">
        <v>39</v>
      </c>
      <c r="C102" s="7">
        <v>216</v>
      </c>
      <c r="D102" s="7">
        <v>127.34</v>
      </c>
      <c r="E102" s="7">
        <f>(D102-$F$13)/$F$12</f>
        <v>8.0273573663745421E-2</v>
      </c>
      <c r="F102" s="7">
        <f>F86</f>
        <v>1.3017443374121322</v>
      </c>
      <c r="G102" s="7">
        <f t="shared" si="12"/>
        <v>0.10449566996061627</v>
      </c>
      <c r="H102" s="7">
        <f>G102*$F$8/1000</f>
        <v>6.2581295677574575E-2</v>
      </c>
      <c r="I102" s="7">
        <f>H102/$F$7*100</f>
        <v>1.0430215946262429</v>
      </c>
      <c r="J102" s="7">
        <f>100-I102</f>
        <v>98.956978405373761</v>
      </c>
      <c r="K102" s="8"/>
    </row>
    <row r="103" spans="1:11">
      <c r="A103" s="7" t="s">
        <v>28</v>
      </c>
      <c r="B103" s="8" t="s">
        <v>39</v>
      </c>
      <c r="C103" s="7">
        <v>288</v>
      </c>
      <c r="D103" s="7">
        <v>141.5</v>
      </c>
      <c r="E103" s="7">
        <f>(D103-$F$13)/$F$12</f>
        <v>0.12656905365061555</v>
      </c>
      <c r="F103" s="7">
        <f>F86</f>
        <v>1.3017443374121322</v>
      </c>
      <c r="G103" s="7">
        <f t="shared" si="12"/>
        <v>0.16476054888130115</v>
      </c>
      <c r="H103" s="7">
        <f>G103*$F$8/1000</f>
        <v>9.8673262054076588E-2</v>
      </c>
      <c r="I103" s="7">
        <f>H103/$F$7*100</f>
        <v>1.6445543675679433</v>
      </c>
      <c r="J103" s="7">
        <f>100-I103</f>
        <v>98.355445632432051</v>
      </c>
      <c r="K103" s="8"/>
    </row>
    <row r="104" spans="1:11">
      <c r="A104" s="5" t="s">
        <v>28</v>
      </c>
      <c r="B104" s="6" t="s">
        <v>40</v>
      </c>
      <c r="C104" s="5">
        <v>8.3000000000000004E-2</v>
      </c>
      <c r="D104" s="5">
        <v>1925.7</v>
      </c>
      <c r="E104" s="5">
        <f t="shared" si="11"/>
        <v>6.2024089415237578</v>
      </c>
      <c r="F104" s="5">
        <f>F100</f>
        <v>0.91141412446468617</v>
      </c>
      <c r="G104" s="5">
        <f t="shared" si="12"/>
        <v>5.6529631150108166</v>
      </c>
      <c r="H104" s="5">
        <f>G104*$F$8/1000</f>
        <v>3.385496798941511</v>
      </c>
      <c r="I104" s="5">
        <f>H104/$F$7*100</f>
        <v>56.424946649025188</v>
      </c>
      <c r="J104" s="5">
        <f>100-I104</f>
        <v>43.575053350974812</v>
      </c>
      <c r="K104" s="6"/>
    </row>
    <row r="105" spans="1:11">
      <c r="A105" s="5" t="s">
        <v>28</v>
      </c>
      <c r="B105" s="6" t="s">
        <v>40</v>
      </c>
      <c r="C105" s="5">
        <v>0.16</v>
      </c>
      <c r="D105" s="5">
        <v>1845.15</v>
      </c>
      <c r="E105" s="5">
        <f t="shared" si="11"/>
        <v>5.9383073139718858</v>
      </c>
      <c r="F105" s="5">
        <f>F100</f>
        <v>0.91141412446468617</v>
      </c>
      <c r="G105" s="5">
        <f t="shared" si="12"/>
        <v>5.4122571613659289</v>
      </c>
      <c r="H105" s="5">
        <f>G105*$F$8/1000</f>
        <v>3.2413406778115093</v>
      </c>
      <c r="I105" s="5">
        <f>H105/$F$7*100</f>
        <v>54.022344630191824</v>
      </c>
      <c r="J105" s="5">
        <f>100-I105</f>
        <v>45.977655369808176</v>
      </c>
      <c r="K105" s="6"/>
    </row>
    <row r="106" spans="1:11">
      <c r="A106" s="5" t="s">
        <v>30</v>
      </c>
      <c r="B106" s="6" t="s">
        <v>32</v>
      </c>
      <c r="C106" s="5"/>
      <c r="D106" s="5">
        <v>1607.81</v>
      </c>
      <c r="E106" s="5">
        <f t="shared" si="11"/>
        <v>5.1601337536595144</v>
      </c>
      <c r="F106" s="5">
        <f>5/E106</f>
        <v>0.96896713122097866</v>
      </c>
      <c r="G106" s="5">
        <f t="shared" si="12"/>
        <v>5</v>
      </c>
      <c r="H106" s="5"/>
      <c r="I106" s="5"/>
      <c r="J106" s="5"/>
      <c r="K106" s="6"/>
    </row>
    <row r="107" spans="1:11">
      <c r="A107" s="5" t="s">
        <v>28</v>
      </c>
      <c r="B107" s="6" t="s">
        <v>40</v>
      </c>
      <c r="C107" s="5">
        <v>0.5</v>
      </c>
      <c r="D107" s="5">
        <v>1658.15</v>
      </c>
      <c r="E107" s="5">
        <f>(D107-$F$5)/$F$4</f>
        <v>5.325184975645378</v>
      </c>
      <c r="F107" s="5">
        <f>F106</f>
        <v>0.96896713122097866</v>
      </c>
      <c r="G107" s="5">
        <f t="shared" si="12"/>
        <v>5.1599292090721587</v>
      </c>
      <c r="H107" s="5">
        <f>G107*$F$8/1000</f>
        <v>3.0902242708238807</v>
      </c>
      <c r="I107" s="5">
        <f>H107/$F$7*100</f>
        <v>51.503737847064677</v>
      </c>
      <c r="J107" s="5">
        <f>100-I107</f>
        <v>48.496262152935323</v>
      </c>
      <c r="K107" s="6"/>
    </row>
    <row r="108" spans="1:11">
      <c r="A108" s="5" t="s">
        <v>28</v>
      </c>
      <c r="B108" s="6" t="s">
        <v>40</v>
      </c>
      <c r="C108" s="5">
        <v>1</v>
      </c>
      <c r="D108" s="5">
        <v>1509.14</v>
      </c>
      <c r="E108" s="5">
        <f t="shared" si="11"/>
        <v>4.8366215551425285</v>
      </c>
      <c r="F108" s="5">
        <f>F106</f>
        <v>0.96896713122097866</v>
      </c>
      <c r="G108" s="5">
        <f t="shared" si="12"/>
        <v>4.6865273130880043</v>
      </c>
      <c r="H108" s="5">
        <f>G108*$F$8/1000</f>
        <v>2.8067091353347773</v>
      </c>
      <c r="I108" s="5">
        <f>H108/$F$7*100</f>
        <v>46.778485588912957</v>
      </c>
      <c r="J108" s="5">
        <f>100-I108</f>
        <v>53.221514411087043</v>
      </c>
      <c r="K108" s="6"/>
    </row>
    <row r="109" spans="1:11">
      <c r="A109" s="5" t="s">
        <v>28</v>
      </c>
      <c r="B109" s="6" t="s">
        <v>40</v>
      </c>
      <c r="C109" s="5">
        <v>2</v>
      </c>
      <c r="D109" s="5">
        <v>1333.94</v>
      </c>
      <c r="E109" s="5">
        <f t="shared" si="11"/>
        <v>4.2621882199831473</v>
      </c>
      <c r="F109" s="5">
        <f>F106</f>
        <v>0.96896713122097866</v>
      </c>
      <c r="G109" s="5">
        <f t="shared" si="12"/>
        <v>4.1299202922409197</v>
      </c>
      <c r="H109" s="5">
        <f>G109*$F$8/1000</f>
        <v>2.4733633750657278</v>
      </c>
      <c r="I109" s="5">
        <f>H109/$F$7*100</f>
        <v>41.222722917762127</v>
      </c>
      <c r="J109" s="5">
        <f>100-I109</f>
        <v>58.777277082237873</v>
      </c>
      <c r="K109" s="6"/>
    </row>
    <row r="110" spans="1:11">
      <c r="A110" s="5" t="s">
        <v>28</v>
      </c>
      <c r="B110" s="6" t="s">
        <v>40</v>
      </c>
      <c r="C110" s="5">
        <v>5</v>
      </c>
      <c r="D110" s="5">
        <v>1366.13</v>
      </c>
      <c r="E110" s="5">
        <f t="shared" si="11"/>
        <v>4.3677305091314382</v>
      </c>
      <c r="F110" s="5">
        <f>F106</f>
        <v>0.96896713122097866</v>
      </c>
      <c r="G110" s="5">
        <f t="shared" si="12"/>
        <v>4.232187301379434</v>
      </c>
      <c r="H110" s="5">
        <f>G110*$F$8/1000</f>
        <v>2.534609950539819</v>
      </c>
      <c r="I110" s="5">
        <f>H110/$F$7*100</f>
        <v>42.243499175663651</v>
      </c>
      <c r="J110" s="5">
        <f>100-I110</f>
        <v>57.756500824336349</v>
      </c>
      <c r="K110" s="6"/>
    </row>
    <row r="111" spans="1:11">
      <c r="A111" s="5" t="s">
        <v>28</v>
      </c>
      <c r="B111" s="6" t="s">
        <v>40</v>
      </c>
      <c r="C111" s="5">
        <v>12</v>
      </c>
      <c r="D111" s="5"/>
      <c r="E111" s="5" t="str">
        <f>IF(D111="","",(D111-$F$5)/$F$4)</f>
        <v/>
      </c>
      <c r="F111" s="5">
        <f>F106</f>
        <v>0.96896713122097866</v>
      </c>
      <c r="G111" s="5" t="str">
        <f>IF(D111="","",E111*F111)</f>
        <v/>
      </c>
      <c r="H111" s="5" t="str">
        <f>IF(D111="","",G111*$F$8/1000)</f>
        <v/>
      </c>
      <c r="I111" s="5" t="str">
        <f>IF(D111="","",H111/$F$7*100)</f>
        <v/>
      </c>
      <c r="J111" s="5" t="str">
        <f>IF(D111="","",100-I111)</f>
        <v/>
      </c>
      <c r="K111" s="9" t="s">
        <v>43</v>
      </c>
    </row>
    <row r="112" spans="1:11">
      <c r="A112" s="5" t="s">
        <v>30</v>
      </c>
      <c r="B112" s="6" t="s">
        <v>31</v>
      </c>
      <c r="C112" s="5"/>
      <c r="D112" s="5"/>
      <c r="E112" s="5" t="str">
        <f>IF(D112="","",(D112-$F$5)/$F$4)</f>
        <v/>
      </c>
      <c r="F112" s="5" t="str">
        <f>IF(E112="","",10/E112)</f>
        <v/>
      </c>
      <c r="G112" s="5" t="str">
        <f>IF(D112="","",E112*F112)</f>
        <v/>
      </c>
      <c r="H112" s="5"/>
      <c r="I112" s="5"/>
      <c r="J112" s="5"/>
      <c r="K112" s="6"/>
    </row>
    <row r="113" spans="1:11">
      <c r="A113" s="5" t="s">
        <v>28</v>
      </c>
      <c r="B113" s="6" t="s">
        <v>40</v>
      </c>
      <c r="C113" s="5">
        <v>24</v>
      </c>
      <c r="D113" s="5">
        <v>1255.7</v>
      </c>
      <c r="E113" s="5">
        <f>(D113-$F$5)/$F$4</f>
        <v>4.0056604566106024</v>
      </c>
      <c r="F113" s="5">
        <f>F106</f>
        <v>0.96896713122097866</v>
      </c>
      <c r="G113" s="5">
        <f t="shared" ref="G113:G121" si="13">E113*F113</f>
        <v>3.8813533212872908</v>
      </c>
      <c r="H113" s="5">
        <f>G113*$F$8/1000</f>
        <v>2.3244993780140701</v>
      </c>
      <c r="I113" s="5">
        <f>H113/$F$7*100</f>
        <v>38.741656300234503</v>
      </c>
      <c r="J113" s="5">
        <f>100-I113</f>
        <v>61.258343699765497</v>
      </c>
      <c r="K113" s="6"/>
    </row>
    <row r="114" spans="1:11">
      <c r="A114" s="5" t="s">
        <v>28</v>
      </c>
      <c r="B114" s="6" t="s">
        <v>40</v>
      </c>
      <c r="C114" s="5">
        <v>48</v>
      </c>
      <c r="D114" s="5">
        <v>1255.4100000000001</v>
      </c>
      <c r="E114" s="5">
        <f>(D114-$F$5)/$F$4</f>
        <v>4.0047096251768339</v>
      </c>
      <c r="F114" s="5">
        <f>F106</f>
        <v>0.96896713122097866</v>
      </c>
      <c r="G114" s="5">
        <f t="shared" si="13"/>
        <v>3.8804319968806373</v>
      </c>
      <c r="H114" s="5">
        <f>G114*$F$8/1000</f>
        <v>2.3239476070638529</v>
      </c>
      <c r="I114" s="5">
        <f>H114/$F$7*100</f>
        <v>38.732460117730881</v>
      </c>
      <c r="J114" s="5">
        <f>100-I114</f>
        <v>61.267539882269119</v>
      </c>
      <c r="K114" s="6"/>
    </row>
    <row r="115" spans="1:11">
      <c r="A115" s="7" t="s">
        <v>28</v>
      </c>
      <c r="B115" s="8" t="s">
        <v>40</v>
      </c>
      <c r="C115" s="7">
        <v>96</v>
      </c>
      <c r="D115" s="7">
        <v>1047.24</v>
      </c>
      <c r="E115" s="7">
        <f t="shared" ref="E115:E121" si="14">(D115-$F$13)/$F$12</f>
        <v>3.0878450454096376</v>
      </c>
      <c r="F115" s="7">
        <f>F118</f>
        <v>1.1123595881720458</v>
      </c>
      <c r="G115" s="7">
        <f t="shared" si="13"/>
        <v>3.4347940430509567</v>
      </c>
      <c r="H115" s="7">
        <f>G115*$F$16/1000</f>
        <v>2.0570599880431262</v>
      </c>
      <c r="I115" s="7">
        <f>H115/$F$15*100</f>
        <v>34.284333134052105</v>
      </c>
      <c r="J115" s="7">
        <f>100-I115</f>
        <v>65.715666865947895</v>
      </c>
      <c r="K115" s="8"/>
    </row>
    <row r="116" spans="1:11">
      <c r="A116" s="7" t="s">
        <v>28</v>
      </c>
      <c r="B116" s="8" t="s">
        <v>40</v>
      </c>
      <c r="C116" s="7">
        <v>120</v>
      </c>
      <c r="D116" s="7">
        <v>1040.58</v>
      </c>
      <c r="E116" s="7">
        <f t="shared" si="14"/>
        <v>3.066070476432762</v>
      </c>
      <c r="F116" s="7">
        <f>F118</f>
        <v>1.1123595881720458</v>
      </c>
      <c r="G116" s="7">
        <f t="shared" si="13"/>
        <v>3.4105728924712153</v>
      </c>
      <c r="H116" s="7">
        <f>G116*$F$16/1000</f>
        <v>2.0425542100845453</v>
      </c>
      <c r="I116" s="7">
        <f>H116/$F$15*100</f>
        <v>34.042570168075756</v>
      </c>
      <c r="J116" s="7">
        <f>100-I116</f>
        <v>65.957429831924244</v>
      </c>
      <c r="K116" s="8"/>
    </row>
    <row r="117" spans="1:11">
      <c r="A117" s="7" t="s">
        <v>28</v>
      </c>
      <c r="B117" s="8" t="s">
        <v>40</v>
      </c>
      <c r="C117" s="7">
        <v>168</v>
      </c>
      <c r="D117" s="7">
        <v>1090.48</v>
      </c>
      <c r="E117" s="7">
        <f t="shared" si="14"/>
        <v>3.2292162710192605</v>
      </c>
      <c r="F117" s="7">
        <f>F118</f>
        <v>1.1123595881720458</v>
      </c>
      <c r="G117" s="7">
        <f t="shared" si="13"/>
        <v>3.592049681349454</v>
      </c>
      <c r="H117" s="7">
        <f>G117*$F$16/1000</f>
        <v>2.1512386425369736</v>
      </c>
      <c r="I117" s="7">
        <f>H117/$F$15*100</f>
        <v>35.853977375616225</v>
      </c>
      <c r="J117" s="7">
        <f>100-I117</f>
        <v>64.146022624383775</v>
      </c>
      <c r="K117" s="8"/>
    </row>
    <row r="118" spans="1:11">
      <c r="A118" s="7" t="s">
        <v>30</v>
      </c>
      <c r="B118" s="8" t="s">
        <v>35</v>
      </c>
      <c r="C118" s="7"/>
      <c r="D118" s="7">
        <v>652.72</v>
      </c>
      <c r="E118" s="7">
        <f t="shared" si="14"/>
        <v>1.7979797371878858</v>
      </c>
      <c r="F118" s="7">
        <f>2/E118</f>
        <v>1.1123595881720458</v>
      </c>
      <c r="G118" s="7">
        <f t="shared" si="13"/>
        <v>2</v>
      </c>
      <c r="H118" s="7"/>
      <c r="I118" s="7"/>
      <c r="J118" s="7"/>
      <c r="K118" s="8"/>
    </row>
    <row r="119" spans="1:11">
      <c r="A119" s="7" t="s">
        <v>28</v>
      </c>
      <c r="B119" s="8" t="s">
        <v>40</v>
      </c>
      <c r="C119" s="7">
        <v>216</v>
      </c>
      <c r="D119" s="7">
        <v>1034.0899999999999</v>
      </c>
      <c r="E119" s="7">
        <f t="shared" si="14"/>
        <v>3.044851714772113</v>
      </c>
      <c r="F119" s="7">
        <f>F118</f>
        <v>1.1123595881720458</v>
      </c>
      <c r="G119" s="7">
        <f t="shared" si="13"/>
        <v>3.3869699994888554</v>
      </c>
      <c r="H119" s="7">
        <f>G119*$F$16/1000</f>
        <v>2.0284186997315143</v>
      </c>
      <c r="I119" s="7">
        <f>H119/$F$15*100</f>
        <v>33.80697832885857</v>
      </c>
      <c r="J119" s="7">
        <f>100-I119</f>
        <v>66.193021671141423</v>
      </c>
      <c r="K119" s="8"/>
    </row>
    <row r="120" spans="1:11">
      <c r="A120" s="7" t="s">
        <v>28</v>
      </c>
      <c r="B120" s="8" t="s">
        <v>40</v>
      </c>
      <c r="C120" s="7">
        <v>264</v>
      </c>
      <c r="D120" s="7">
        <v>1057.6500000000001</v>
      </c>
      <c r="E120" s="7">
        <f t="shared" si="14"/>
        <v>3.1218800698915103</v>
      </c>
      <c r="F120" s="7">
        <f>F118</f>
        <v>1.1123595881720458</v>
      </c>
      <c r="G120" s="7">
        <f t="shared" si="13"/>
        <v>3.472653228867038</v>
      </c>
      <c r="H120" s="7">
        <f>G120*$F$16/1000</f>
        <v>2.0797334337711777</v>
      </c>
      <c r="I120" s="7">
        <f>H120/$F$15*100</f>
        <v>34.662223896186298</v>
      </c>
      <c r="J120" s="7">
        <f>100-I120</f>
        <v>65.337776103813695</v>
      </c>
      <c r="K120" s="8"/>
    </row>
    <row r="121" spans="1:11">
      <c r="A121" s="7" t="s">
        <v>41</v>
      </c>
      <c r="B121" s="8"/>
      <c r="C121" s="7" t="s">
        <v>42</v>
      </c>
      <c r="D121" s="7">
        <v>2898.9</v>
      </c>
      <c r="E121" s="7">
        <f t="shared" si="14"/>
        <v>9.1417637228452264</v>
      </c>
      <c r="F121" s="7">
        <f>F118</f>
        <v>1.1123595881720458</v>
      </c>
      <c r="G121" s="7">
        <f t="shared" si="13"/>
        <v>10.168928529910264</v>
      </c>
      <c r="H121" s="7"/>
      <c r="I121" s="7"/>
      <c r="J121" s="7"/>
      <c r="K121" s="8"/>
    </row>
  </sheetData>
  <mergeCells count="1">
    <mergeCell ref="A1:K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opLeftCell="A19" zoomScale="70" zoomScaleNormal="70" workbookViewId="0">
      <selection activeCell="B34" sqref="B34"/>
    </sheetView>
  </sheetViews>
  <sheetFormatPr defaultRowHeight="14"/>
  <cols>
    <col min="1" max="1" width="18" customWidth="1"/>
    <col min="2" max="2" width="26" customWidth="1"/>
    <col min="3" max="3" width="12" customWidth="1"/>
    <col min="4" max="4" width="11" customWidth="1"/>
    <col min="5" max="5" width="18" customWidth="1"/>
    <col min="6" max="7" width="12" customWidth="1"/>
    <col min="8" max="8" width="38" customWidth="1"/>
  </cols>
  <sheetData>
    <row r="1" spans="1:9">
      <c r="A1" s="15" t="s">
        <v>46</v>
      </c>
      <c r="B1" s="15"/>
      <c r="C1" s="15"/>
      <c r="D1" s="15"/>
      <c r="E1" s="15"/>
      <c r="F1" s="15"/>
      <c r="G1" s="15"/>
      <c r="H1" s="15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 t="s">
        <v>6</v>
      </c>
      <c r="B3" s="1" t="s">
        <v>7</v>
      </c>
      <c r="C3" s="1" t="s">
        <v>47</v>
      </c>
      <c r="D3" s="1" t="s">
        <v>8</v>
      </c>
      <c r="E3" s="1" t="s">
        <v>48</v>
      </c>
      <c r="F3" s="1" t="s">
        <v>9</v>
      </c>
      <c r="G3" s="1" t="s">
        <v>49</v>
      </c>
      <c r="H3" s="1" t="s">
        <v>10</v>
      </c>
      <c r="I3" s="1"/>
    </row>
    <row r="4" spans="1:9">
      <c r="A4" s="1" t="s">
        <v>50</v>
      </c>
      <c r="B4" s="1" t="s">
        <v>51</v>
      </c>
      <c r="C4" s="1">
        <v>0.1</v>
      </c>
      <c r="D4" s="1">
        <v>0.9</v>
      </c>
      <c r="E4" s="1">
        <v>0</v>
      </c>
      <c r="F4" s="1">
        <v>0</v>
      </c>
      <c r="G4" s="1">
        <v>1</v>
      </c>
      <c r="H4" s="1" t="s">
        <v>52</v>
      </c>
      <c r="I4" s="1"/>
    </row>
    <row r="5" spans="1:9">
      <c r="A5" s="1" t="s">
        <v>53</v>
      </c>
      <c r="B5" s="1" t="s">
        <v>54</v>
      </c>
      <c r="C5" s="1">
        <v>0.09</v>
      </c>
      <c r="D5" s="1">
        <v>0</v>
      </c>
      <c r="E5" s="1">
        <v>0.1</v>
      </c>
      <c r="F5" s="1">
        <v>5.2</v>
      </c>
      <c r="G5" s="1">
        <v>5.39</v>
      </c>
      <c r="H5" s="1" t="s">
        <v>55</v>
      </c>
      <c r="I5" s="1"/>
    </row>
    <row r="6" spans="1:9">
      <c r="A6" s="1" t="s">
        <v>56</v>
      </c>
      <c r="B6" s="1" t="s">
        <v>57</v>
      </c>
      <c r="C6" s="1"/>
      <c r="D6" s="1"/>
      <c r="E6" s="1"/>
      <c r="F6" s="1"/>
      <c r="G6" s="1"/>
      <c r="H6" s="1" t="s">
        <v>58</v>
      </c>
      <c r="I6" s="1"/>
    </row>
    <row r="7" spans="1:9">
      <c r="A7" s="1" t="s">
        <v>59</v>
      </c>
      <c r="B7" s="1" t="s">
        <v>60</v>
      </c>
      <c r="C7" s="1"/>
      <c r="D7" s="1"/>
      <c r="E7" s="1"/>
      <c r="F7" s="1"/>
      <c r="G7" s="1"/>
      <c r="H7" s="1" t="s">
        <v>61</v>
      </c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5" t="s">
        <v>11</v>
      </c>
      <c r="B9" s="15"/>
      <c r="C9" s="15"/>
      <c r="D9" s="15"/>
      <c r="E9" s="15"/>
      <c r="F9" s="15"/>
      <c r="G9" s="15"/>
      <c r="H9" s="15"/>
      <c r="I9" s="1"/>
    </row>
    <row r="10" spans="1:9">
      <c r="A10" s="1" t="s">
        <v>12</v>
      </c>
      <c r="B10" s="1" t="s">
        <v>13</v>
      </c>
      <c r="C10" s="1" t="s">
        <v>14</v>
      </c>
      <c r="D10" s="1" t="s">
        <v>15</v>
      </c>
      <c r="E10" s="15" t="s">
        <v>62</v>
      </c>
      <c r="F10" s="15"/>
      <c r="G10" s="15"/>
      <c r="H10" s="15"/>
      <c r="I10" s="1"/>
    </row>
    <row r="11" spans="1:9">
      <c r="A11" s="1" t="s">
        <v>16</v>
      </c>
      <c r="B11" s="1" t="s">
        <v>63</v>
      </c>
      <c r="C11" s="1" t="s">
        <v>64</v>
      </c>
      <c r="D11" s="1">
        <v>14</v>
      </c>
      <c r="E11" s="15" t="s">
        <v>65</v>
      </c>
      <c r="F11" s="15"/>
      <c r="G11" s="15"/>
      <c r="H11" s="15"/>
      <c r="I11" s="1"/>
    </row>
    <row r="12" spans="1:9">
      <c r="A12" s="1" t="s">
        <v>17</v>
      </c>
      <c r="B12" s="1" t="s">
        <v>63</v>
      </c>
      <c r="C12" s="1" t="s">
        <v>18</v>
      </c>
      <c r="D12" s="1">
        <v>14</v>
      </c>
      <c r="E12" s="15" t="s">
        <v>65</v>
      </c>
      <c r="F12" s="15"/>
      <c r="G12" s="15"/>
      <c r="H12" s="15"/>
      <c r="I12" s="1"/>
    </row>
    <row r="13" spans="1:9">
      <c r="A13" s="1" t="s">
        <v>19</v>
      </c>
      <c r="B13" s="1" t="s">
        <v>66</v>
      </c>
      <c r="C13" s="1" t="s">
        <v>64</v>
      </c>
      <c r="D13" s="1">
        <v>14</v>
      </c>
      <c r="E13" s="15" t="s">
        <v>65</v>
      </c>
      <c r="F13" s="15"/>
      <c r="G13" s="15"/>
      <c r="H13" s="15"/>
      <c r="I13" s="1"/>
    </row>
    <row r="14" spans="1:9">
      <c r="A14" s="1" t="s">
        <v>20</v>
      </c>
      <c r="B14" s="1" t="s">
        <v>66</v>
      </c>
      <c r="C14" s="1" t="s">
        <v>18</v>
      </c>
      <c r="D14" s="1">
        <v>14</v>
      </c>
      <c r="E14" s="15" t="s">
        <v>65</v>
      </c>
      <c r="F14" s="15"/>
      <c r="G14" s="15"/>
      <c r="H14" s="15"/>
      <c r="I14" s="1"/>
    </row>
    <row r="15" spans="1:9">
      <c r="A15" s="1" t="s">
        <v>21</v>
      </c>
      <c r="B15" s="1" t="s">
        <v>67</v>
      </c>
      <c r="C15" s="1" t="s">
        <v>64</v>
      </c>
      <c r="D15" s="1">
        <v>14</v>
      </c>
      <c r="E15" s="15" t="s">
        <v>65</v>
      </c>
      <c r="F15" s="15"/>
      <c r="G15" s="15"/>
      <c r="H15" s="15"/>
      <c r="I15" s="1"/>
    </row>
    <row r="16" spans="1:9">
      <c r="A16" s="1" t="s">
        <v>22</v>
      </c>
      <c r="B16" s="1" t="s">
        <v>67</v>
      </c>
      <c r="C16" s="1" t="s">
        <v>18</v>
      </c>
      <c r="D16" s="1">
        <v>14</v>
      </c>
      <c r="E16" s="15" t="s">
        <v>65</v>
      </c>
      <c r="F16" s="15"/>
      <c r="G16" s="15"/>
      <c r="H16" s="15"/>
      <c r="I16" s="1"/>
    </row>
    <row r="17" spans="1:9">
      <c r="A17" s="1" t="s">
        <v>23</v>
      </c>
      <c r="B17" s="1" t="s">
        <v>68</v>
      </c>
      <c r="C17" s="1" t="s">
        <v>64</v>
      </c>
      <c r="D17" s="1">
        <v>14</v>
      </c>
      <c r="E17" s="15" t="s">
        <v>65</v>
      </c>
      <c r="F17" s="15"/>
      <c r="G17" s="15"/>
      <c r="H17" s="15"/>
      <c r="I17" s="1"/>
    </row>
    <row r="18" spans="1:9">
      <c r="A18" s="1" t="s">
        <v>24</v>
      </c>
      <c r="B18" s="1" t="s">
        <v>69</v>
      </c>
      <c r="C18" s="1" t="s">
        <v>64</v>
      </c>
      <c r="D18" s="1">
        <v>14</v>
      </c>
      <c r="E18" s="15" t="s">
        <v>65</v>
      </c>
      <c r="F18" s="15"/>
      <c r="G18" s="15"/>
      <c r="H18" s="15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5" t="s">
        <v>25</v>
      </c>
      <c r="B21" s="15"/>
      <c r="C21" s="15"/>
      <c r="D21" s="15"/>
      <c r="E21" s="15"/>
      <c r="F21" s="15"/>
      <c r="G21" s="15"/>
      <c r="H21" s="15"/>
      <c r="I21" s="1"/>
    </row>
    <row r="22" spans="1:9">
      <c r="A22" s="1" t="s">
        <v>26</v>
      </c>
      <c r="B22" s="1" t="s">
        <v>27</v>
      </c>
      <c r="C22" s="1"/>
      <c r="D22" s="1"/>
      <c r="E22" s="1"/>
      <c r="F22" s="1"/>
      <c r="G22" s="1"/>
      <c r="H22" s="1"/>
      <c r="I22" s="1"/>
    </row>
    <row r="23" spans="1:9">
      <c r="A23" s="1" t="s">
        <v>70</v>
      </c>
      <c r="B23" s="15" t="s">
        <v>71</v>
      </c>
      <c r="C23" s="15"/>
      <c r="D23" s="15"/>
      <c r="E23" s="15"/>
      <c r="F23" s="15"/>
      <c r="G23" s="15"/>
      <c r="H23" s="15"/>
      <c r="I23" s="1"/>
    </row>
    <row r="24" spans="1:9">
      <c r="A24" s="1" t="s">
        <v>72</v>
      </c>
      <c r="B24" s="15" t="s">
        <v>73</v>
      </c>
      <c r="C24" s="15"/>
      <c r="D24" s="15"/>
      <c r="E24" s="15"/>
      <c r="F24" s="15"/>
      <c r="G24" s="15"/>
      <c r="H24" s="15"/>
      <c r="I24" s="1"/>
    </row>
    <row r="25" spans="1:9">
      <c r="A25" s="1" t="s">
        <v>74</v>
      </c>
      <c r="B25" s="15" t="s">
        <v>75</v>
      </c>
      <c r="C25" s="15"/>
      <c r="D25" s="15"/>
      <c r="E25" s="15"/>
      <c r="F25" s="15"/>
      <c r="G25" s="15"/>
      <c r="H25" s="15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</sheetData>
  <mergeCells count="15">
    <mergeCell ref="E13:H13"/>
    <mergeCell ref="A1:H1"/>
    <mergeCell ref="A9:H9"/>
    <mergeCell ref="E10:H10"/>
    <mergeCell ref="E11:H11"/>
    <mergeCell ref="E12:H12"/>
    <mergeCell ref="B23:H23"/>
    <mergeCell ref="B24:H24"/>
    <mergeCell ref="B25:H25"/>
    <mergeCell ref="E14:H14"/>
    <mergeCell ref="E15:H15"/>
    <mergeCell ref="E16:H16"/>
    <mergeCell ref="E17:H17"/>
    <mergeCell ref="E18:H18"/>
    <mergeCell ref="A21:H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AFS数据</vt:lpstr>
      <vt:lpstr>稀释记录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世琛 郭</cp:lastModifiedBy>
  <dcterms:modified xsi:type="dcterms:W3CDTF">2026-09-22T09:00:04Z</dcterms:modified>
</cp:coreProperties>
</file>